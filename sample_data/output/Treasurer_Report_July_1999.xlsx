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asurer Report" sheetId="1" state="visible" r:id="rId1"/>
    <sheet xmlns:r="http://schemas.openxmlformats.org/officeDocument/2006/relationships" name="Income Budget vs Actuals" sheetId="2" state="visible" r:id="rId2"/>
    <sheet xmlns:r="http://schemas.openxmlformats.org/officeDocument/2006/relationships" name="Expense Budget vs Actuals" sheetId="3" state="visible" r:id="rId3"/>
    <sheet xmlns:r="http://schemas.openxmlformats.org/officeDocument/2006/relationships" name="Giveback Reconciliation" sheetId="4" state="visible" r:id="rId4"/>
    <sheet xmlns:r="http://schemas.openxmlformats.org/officeDocument/2006/relationships" name="File Manifest" sheetId="5" state="visible" r:id="rId5"/>
    <sheet xmlns:r="http://schemas.openxmlformats.org/officeDocument/2006/relationships" name="YTD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_);($#,##0.00)"/>
    <numFmt numFmtId="165" formatCode="0.0%"/>
  </numFmts>
  <fonts count="16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b val="1"/>
      <color rgb="002E75B6"/>
      <sz val="12"/>
    </font>
    <font>
      <name val="Arial"/>
      <i val="1"/>
      <color rgb="00888888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  <sz val="13"/>
    </font>
    <font>
      <name val="Arial"/>
      <i val="1"/>
      <color rgb="00666666"/>
      <sz val="9"/>
    </font>
    <font>
      <name val="Arial"/>
      <b val="1"/>
      <color rgb="00FFFFFF"/>
      <sz val="9"/>
    </font>
    <font>
      <name val="Arial"/>
      <b val="1"/>
      <color rgb="001F3864"/>
      <sz val="9"/>
    </font>
    <font>
      <name val="Arial"/>
      <b val="1"/>
      <color rgb="001F3864"/>
      <sz val="14"/>
    </font>
    <font>
      <name val="Arial"/>
      <i val="1"/>
      <color rgb="00666666"/>
      <sz val="10"/>
    </font>
    <font>
      <name val="Arial"/>
      <b val="1"/>
      <color rgb="00FFFFFF"/>
      <sz val="8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FFD966"/>
      </patternFill>
    </fill>
    <fill>
      <patternFill patternType="solid">
        <fgColor rgb="00E2EFDA"/>
      </patternFill>
    </fill>
    <fill>
      <patternFill patternType="solid">
        <fgColor rgb="00FFF9E6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0" applyAlignment="1" pivotButton="0" quotePrefix="0" xfId="0">
      <alignment horizontal="left" vertical="center" indent="1"/>
    </xf>
    <xf numFmtId="0" fontId="5" fillId="3" borderId="1" applyAlignment="1" pivotButton="0" quotePrefix="0" xfId="0">
      <alignment horizontal="left" vertical="center" indent="1"/>
    </xf>
    <xf numFmtId="0" fontId="5" fillId="3" borderId="1" applyAlignment="1" pivotButton="0" quotePrefix="0" xfId="0">
      <alignment horizontal="center" vertical="center"/>
    </xf>
    <xf numFmtId="0" fontId="6" fillId="4" borderId="2" applyAlignment="1" pivotButton="0" quotePrefix="0" xfId="0">
      <alignment indent="1"/>
    </xf>
    <xf numFmtId="164" fontId="6" fillId="4" borderId="2" applyAlignment="1" pivotButton="0" quotePrefix="0" xfId="0">
      <alignment horizontal="right"/>
    </xf>
    <xf numFmtId="0" fontId="0" fillId="4" borderId="2" pivotButton="0" quotePrefix="0" xfId="0"/>
    <xf numFmtId="0" fontId="7" fillId="0" borderId="1" applyAlignment="1" pivotButton="0" quotePrefix="0" xfId="0">
      <alignment indent="2"/>
    </xf>
    <xf numFmtId="164" fontId="7" fillId="0" borderId="1" applyAlignment="1" pivotButton="0" quotePrefix="0" xfId="0">
      <alignment horizontal="right"/>
    </xf>
    <xf numFmtId="0" fontId="0" fillId="0" borderId="1" pivotButton="0" quotePrefix="0" xfId="0"/>
    <xf numFmtId="0" fontId="7" fillId="5" borderId="1" applyAlignment="1" pivotButton="0" quotePrefix="0" xfId="0">
      <alignment indent="2"/>
    </xf>
    <xf numFmtId="164" fontId="7" fillId="5" borderId="1" applyAlignment="1" pivotButton="0" quotePrefix="0" xfId="0">
      <alignment horizontal="right"/>
    </xf>
    <xf numFmtId="0" fontId="0" fillId="5" borderId="1" pivotButton="0" quotePrefix="0" xfId="0"/>
    <xf numFmtId="0" fontId="4" fillId="2" borderId="0" applyAlignment="1" pivotButton="0" quotePrefix="0" xfId="0">
      <alignment horizontal="left" indent="1"/>
    </xf>
    <xf numFmtId="0" fontId="6" fillId="6" borderId="2" applyAlignment="1" pivotButton="0" quotePrefix="0" xfId="0">
      <alignment indent="1"/>
    </xf>
    <xf numFmtId="164" fontId="6" fillId="6" borderId="2" applyAlignment="1" pivotButton="0" quotePrefix="0" xfId="0">
      <alignment horizontal="right"/>
    </xf>
    <xf numFmtId="0" fontId="0" fillId="6" borderId="2" pivotButton="0" quotePrefix="0" xfId="0"/>
    <xf numFmtId="0" fontId="8" fillId="0" borderId="1" applyAlignment="1" pivotButton="0" quotePrefix="0" xfId="0">
      <alignment indent="2"/>
    </xf>
    <xf numFmtId="164" fontId="8" fillId="0" borderId="1" applyAlignment="1" pivotButton="0" quotePrefix="0" xfId="0">
      <alignment horizontal="right"/>
    </xf>
    <xf numFmtId="0" fontId="8" fillId="7" borderId="1" applyAlignment="1" pivotButton="0" quotePrefix="0" xfId="0">
      <alignment indent="2"/>
    </xf>
    <xf numFmtId="164" fontId="8" fillId="7" borderId="1" applyAlignment="1" pivotButton="0" quotePrefix="0" xfId="0">
      <alignment horizontal="right"/>
    </xf>
    <xf numFmtId="0" fontId="0" fillId="7" borderId="1" pivotButton="0" quotePrefix="0" xfId="0"/>
    <xf numFmtId="0" fontId="9" fillId="2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11" fillId="3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left" vertical="center" indent="1"/>
    </xf>
    <xf numFmtId="164" fontId="8" fillId="8" borderId="1" applyAlignment="1" pivotButton="0" quotePrefix="0" xfId="0">
      <alignment horizontal="right"/>
    </xf>
    <xf numFmtId="0" fontId="4" fillId="2" borderId="2" applyAlignment="1" pivotButton="0" quotePrefix="0" xfId="0">
      <alignment indent="1"/>
    </xf>
    <xf numFmtId="164" fontId="5" fillId="2" borderId="2" applyAlignment="1" pivotButton="0" quotePrefix="0" xfId="0">
      <alignment horizontal="right"/>
    </xf>
    <xf numFmtId="164" fontId="8" fillId="6" borderId="1" applyAlignment="1" pivotButton="0" quotePrefix="0" xfId="0">
      <alignment horizontal="right"/>
    </xf>
    <xf numFmtId="0" fontId="5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  <xf numFmtId="0" fontId="7" fillId="0" borderId="1" applyAlignment="1" pivotButton="0" quotePrefix="0" xfId="0">
      <alignment indent="1"/>
    </xf>
    <xf numFmtId="0" fontId="7" fillId="0" borderId="1" applyAlignment="1" pivotButton="0" quotePrefix="0" xfId="0">
      <alignment horizontal="center"/>
    </xf>
    <xf numFmtId="165" fontId="7" fillId="0" borderId="1" applyAlignment="1" pivotButton="0" quotePrefix="0" xfId="0">
      <alignment horizontal="center"/>
    </xf>
    <xf numFmtId="0" fontId="7" fillId="5" borderId="1" applyAlignment="1" pivotButton="0" quotePrefix="0" xfId="0">
      <alignment indent="1"/>
    </xf>
    <xf numFmtId="0" fontId="7" fillId="5" borderId="1" applyAlignment="1" pivotButton="0" quotePrefix="0" xfId="0">
      <alignment horizontal="center"/>
    </xf>
    <xf numFmtId="165" fontId="7" fillId="5" borderId="1" applyAlignment="1" pivotButton="0" quotePrefix="0" xfId="0">
      <alignment horizontal="center"/>
    </xf>
    <xf numFmtId="0" fontId="6" fillId="4" borderId="2" applyAlignment="1" pivotButton="0" quotePrefix="0" xfId="0">
      <alignment horizontal="center"/>
    </xf>
    <xf numFmtId="0" fontId="8" fillId="9" borderId="1" applyAlignment="1" pivotButton="0" quotePrefix="0" xfId="0">
      <alignment indent="2"/>
    </xf>
    <xf numFmtId="0" fontId="0" fillId="9" borderId="1" pivotButton="0" quotePrefix="0" xfId="0"/>
    <xf numFmtId="164" fontId="8" fillId="9" borderId="1" applyAlignment="1" pivotButton="0" quotePrefix="0" xfId="0">
      <alignment horizontal="right"/>
    </xf>
    <xf numFmtId="0" fontId="7" fillId="0" borderId="1" applyAlignment="1" pivotButton="0" quotePrefix="0" xfId="0">
      <alignment horizontal="right" indent="1"/>
    </xf>
    <xf numFmtId="0" fontId="7" fillId="5" borderId="1" applyAlignment="1" pivotButton="0" quotePrefix="0" xfId="0">
      <alignment horizontal="right" indent="1"/>
    </xf>
    <xf numFmtId="0" fontId="8" fillId="0" borderId="0" applyAlignment="1" pivotButton="0" quotePrefix="0" xfId="0">
      <alignment indent="1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/>
    </xf>
    <xf numFmtId="0" fontId="8" fillId="0" borderId="0" pivotButton="0" quotePrefix="0" xfId="0"/>
    <xf numFmtId="164" fontId="8" fillId="0" borderId="0" pivotButton="0" quotePrefix="0" xfId="0"/>
    <xf numFmtId="0" fontId="10" fillId="0" borderId="0" pivotButton="0" quotePrefix="0" xfId="0"/>
    <xf numFmtId="0" fontId="15" fillId="3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center" vertical="center" wrapText="1"/>
    </xf>
    <xf numFmtId="164" fontId="7" fillId="9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22" customWidth="1" min="4" max="4"/>
  </cols>
  <sheetData>
    <row r="1" ht="28" customHeight="1">
      <c r="A1" s="1" t="inlineStr">
        <is>
          <t>SETAUKET SCHOOL PTA</t>
        </is>
      </c>
    </row>
    <row r="2">
      <c r="A2" s="2" t="inlineStr">
        <is>
          <t>Monthly Treasurer Report - July 1999</t>
        </is>
      </c>
    </row>
    <row r="3">
      <c r="A3" s="3" t="inlineStr">
        <is>
          <t>Generated: July 22, 2026</t>
        </is>
      </c>
    </row>
    <row r="5" ht="20" customHeight="1">
      <c r="A5" s="4" t="inlineStr">
        <is>
          <t>INCOME</t>
        </is>
      </c>
    </row>
    <row r="6" ht="18" customHeight="1">
      <c r="A6" s="5" t="inlineStr">
        <is>
          <t>Category</t>
        </is>
      </c>
      <c r="B6" s="6" t="inlineStr">
        <is>
          <t>Amount</t>
        </is>
      </c>
      <c r="C6" s="6" t="inlineStr"/>
      <c r="D6" s="6" t="inlineStr"/>
    </row>
    <row r="7" ht="18" customHeight="1">
      <c r="A7" s="7" t="inlineStr">
        <is>
          <t>Total Income</t>
        </is>
      </c>
      <c r="B7" s="8">
        <f>SUM(B7:B6)</f>
        <v/>
      </c>
      <c r="C7" s="9" t="n"/>
      <c r="D7" s="9" t="n"/>
    </row>
    <row r="9" ht="20" customHeight="1">
      <c r="A9" s="4" t="inlineStr">
        <is>
          <t>EXPENSES</t>
        </is>
      </c>
    </row>
    <row r="10" ht="18" customHeight="1">
      <c r="A10" s="5" t="inlineStr">
        <is>
          <t>Category</t>
        </is>
      </c>
      <c r="B10" s="6" t="inlineStr">
        <is>
          <t>Amount</t>
        </is>
      </c>
      <c r="C10" s="6" t="inlineStr"/>
      <c r="D10" s="6" t="inlineStr"/>
    </row>
    <row r="11" ht="16" customHeight="1">
      <c r="A11" s="10" t="inlineStr">
        <is>
          <t>Accounting Expense (Quickbooks)</t>
        </is>
      </c>
      <c r="B11" s="11" t="n">
        <v>1257.76</v>
      </c>
      <c r="C11" s="12" t="n"/>
      <c r="D11" s="12" t="n"/>
    </row>
    <row r="12" ht="16" customHeight="1">
      <c r="A12" s="13" t="inlineStr">
        <is>
          <t>Picnic</t>
        </is>
      </c>
      <c r="B12" s="14" t="n">
        <v>181.58</v>
      </c>
      <c r="C12" s="15" t="n"/>
      <c r="D12" s="15" t="n"/>
    </row>
    <row r="13" ht="18" customHeight="1">
      <c r="A13" s="7" t="inlineStr">
        <is>
          <t>Total Expenses</t>
        </is>
      </c>
      <c r="B13" s="8">
        <f>SUM(B11:B12)</f>
        <v/>
      </c>
      <c r="C13" s="9" t="n"/>
      <c r="D13" s="9" t="n"/>
    </row>
    <row r="15">
      <c r="A15" s="16" t="inlineStr">
        <is>
          <t>NET INCOME / (LOSS)</t>
        </is>
      </c>
    </row>
    <row r="16">
      <c r="A16" s="17" t="inlineStr">
        <is>
          <t>Net Income (Loss)</t>
        </is>
      </c>
      <c r="B16" s="18">
        <f>B7-B13</f>
        <v/>
      </c>
      <c r="C16" s="19" t="n"/>
      <c r="D16" s="19" t="n"/>
    </row>
    <row r="18" ht="20" customHeight="1">
      <c r="A18" s="4" t="inlineStr">
        <is>
          <t>BANK RECONCILIATION - Chase Business Checking</t>
        </is>
      </c>
    </row>
    <row r="19" ht="18" customHeight="1">
      <c r="A19" s="5" t="inlineStr">
        <is>
          <t>Description</t>
        </is>
      </c>
      <c r="B19" s="6" t="inlineStr">
        <is>
          <t>Amount</t>
        </is>
      </c>
      <c r="C19" s="6" t="inlineStr"/>
      <c r="D19" s="6" t="inlineStr"/>
    </row>
    <row r="20" ht="16" customHeight="1">
      <c r="A20" s="10" t="inlineStr">
        <is>
          <t>Beginning Balance</t>
        </is>
      </c>
      <c r="B20" s="11" t="n">
        <v>32630.1</v>
      </c>
      <c r="C20" s="12" t="n"/>
      <c r="D20" s="12" t="n"/>
    </row>
    <row r="21" ht="16" customHeight="1">
      <c r="A21" s="13" t="inlineStr">
        <is>
          <t>(+) Deposits &amp; Additions</t>
        </is>
      </c>
      <c r="B21" s="14" t="n">
        <v>0</v>
      </c>
      <c r="C21" s="15" t="n"/>
      <c r="D21" s="15" t="n"/>
    </row>
    <row r="22" ht="16" customHeight="1">
      <c r="A22" s="10" t="inlineStr">
        <is>
          <t>(-) Checks Paid</t>
        </is>
      </c>
      <c r="B22" s="11" t="n">
        <v>-181.58</v>
      </c>
      <c r="C22" s="12" t="n"/>
      <c r="D22" s="12" t="n"/>
    </row>
    <row r="23" ht="16" customHeight="1">
      <c r="A23" s="13" t="inlineStr">
        <is>
          <t>(-) Electronic Withdrawals</t>
        </is>
      </c>
      <c r="B23" s="14" t="n">
        <v>-1257.76</v>
      </c>
      <c r="C23" s="15" t="n"/>
      <c r="D23" s="15" t="n"/>
    </row>
    <row r="24" ht="16" customHeight="1">
      <c r="A24" s="10" t="inlineStr">
        <is>
          <t>(-) Fees</t>
        </is>
      </c>
      <c r="B24" s="11" t="n">
        <v>-0</v>
      </c>
      <c r="C24" s="12" t="n"/>
      <c r="D24" s="12" t="n"/>
    </row>
    <row r="25" ht="18" customHeight="1">
      <c r="A25" s="7" t="inlineStr">
        <is>
          <t>Ending Balance (per statement)</t>
        </is>
      </c>
      <c r="B25" s="8" t="n">
        <v>31190.76</v>
      </c>
      <c r="C25" s="9" t="n"/>
      <c r="D25" s="9" t="n"/>
    </row>
    <row r="26" ht="16" customHeight="1">
      <c r="A26" s="20" t="inlineStr">
        <is>
          <t>Calculated Ending Balance</t>
        </is>
      </c>
      <c r="B26" s="21" t="n">
        <v>31190.76</v>
      </c>
      <c r="C26" s="12" t="n"/>
      <c r="D26" s="12" t="n"/>
    </row>
    <row r="27" ht="16" customHeight="1">
      <c r="A27" s="22" t="inlineStr">
        <is>
          <t>Difference (should be $0.00)</t>
        </is>
      </c>
      <c r="B27" s="23" t="n">
        <v>0</v>
      </c>
      <c r="C27" s="24" t="n"/>
      <c r="D27" s="24" t="n"/>
    </row>
  </sheetData>
  <mergeCells count="7">
    <mergeCell ref="A1:D1"/>
    <mergeCell ref="A2:D2"/>
    <mergeCell ref="A3:D3"/>
    <mergeCell ref="A5:D5"/>
    <mergeCell ref="A9:D9"/>
    <mergeCell ref="A15:D15"/>
    <mergeCell ref="A18:D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11" customWidth="1" min="16" max="16"/>
    <col width="11" customWidth="1" min="17" max="17"/>
  </cols>
  <sheetData>
    <row r="1" ht="26" customHeight="1">
      <c r="A1" s="25" t="inlineStr">
        <is>
          <t>SETAUKET SCHOOL PTA  -  Budget vs Actuals - Income</t>
        </is>
      </c>
    </row>
    <row r="2">
      <c r="A2" s="26" t="inlineStr">
        <is>
          <t>As of July 22, 2026  |  Fiscal Year July 2025 - June 2026  |  Active month: JULY</t>
        </is>
      </c>
    </row>
    <row r="3" ht="30" customHeight="1">
      <c r="A3" s="27" t="inlineStr">
        <is>
          <t>Category</t>
        </is>
      </c>
      <c r="B3" s="28" t="inlineStr">
        <is>
          <t>Last Year</t>
        </is>
      </c>
      <c r="C3" s="28" t="inlineStr">
        <is>
          <t>Budget (Annual)</t>
        </is>
      </c>
      <c r="D3" s="29" t="inlineStr">
        <is>
          <t>JULY</t>
        </is>
      </c>
      <c r="E3" s="28" t="inlineStr">
        <is>
          <t>AUG</t>
        </is>
      </c>
      <c r="F3" s="28" t="inlineStr">
        <is>
          <t>SEPT</t>
        </is>
      </c>
      <c r="G3" s="28" t="inlineStr">
        <is>
          <t>OCT</t>
        </is>
      </c>
      <c r="H3" s="28" t="inlineStr">
        <is>
          <t>NOV</t>
        </is>
      </c>
      <c r="I3" s="28" t="inlineStr">
        <is>
          <t>DEC</t>
        </is>
      </c>
      <c r="J3" s="28" t="inlineStr">
        <is>
          <t>JAN</t>
        </is>
      </c>
      <c r="K3" s="28" t="inlineStr">
        <is>
          <t>FEB</t>
        </is>
      </c>
      <c r="L3" s="28" t="inlineStr">
        <is>
          <t>MAR</t>
        </is>
      </c>
      <c r="M3" s="28" t="inlineStr">
        <is>
          <t>APR</t>
        </is>
      </c>
      <c r="N3" s="28" t="inlineStr">
        <is>
          <t>MAY</t>
        </is>
      </c>
      <c r="O3" s="28" t="inlineStr">
        <is>
          <t>JUNE</t>
        </is>
      </c>
      <c r="P3" s="28" t="inlineStr">
        <is>
          <t>Total</t>
        </is>
      </c>
      <c r="Q3" s="28" t="inlineStr"/>
    </row>
    <row r="4" ht="18" customHeight="1">
      <c r="A4" s="30" t="inlineStr">
        <is>
          <t>Fundraising</t>
        </is>
      </c>
    </row>
    <row r="5" ht="15" customHeight="1">
      <c r="A5" s="10" t="inlineStr">
        <is>
          <t>Birthday Books</t>
        </is>
      </c>
      <c r="B5" s="11" t="n">
        <v>2310</v>
      </c>
      <c r="C5" s="11" t="n">
        <v>2000</v>
      </c>
      <c r="D5" s="3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>
        <f>SUM(D5:O5)</f>
        <v/>
      </c>
      <c r="Q5" s="11" t="n"/>
    </row>
    <row r="6" ht="15" customHeight="1">
      <c r="A6" s="13" t="inlineStr">
        <is>
          <t>Book Fair</t>
        </is>
      </c>
      <c r="B6" s="14" t="n">
        <v>9118.360000000001</v>
      </c>
      <c r="C6" s="14" t="n">
        <v>500</v>
      </c>
      <c r="D6" s="31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>
        <f>SUM(D6:O6)</f>
        <v/>
      </c>
      <c r="Q6" s="14" t="n"/>
    </row>
    <row r="7" ht="15" customHeight="1">
      <c r="A7" s="10" t="inlineStr">
        <is>
          <t>Croc Charms</t>
        </is>
      </c>
      <c r="B7" s="11" t="n">
        <v>405</v>
      </c>
      <c r="C7" s="11" t="n">
        <v>100</v>
      </c>
      <c r="D7" s="3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>
        <f>SUM(D7:O7)</f>
        <v/>
      </c>
      <c r="Q7" s="11" t="n"/>
    </row>
    <row r="8" ht="15" customHeight="1">
      <c r="A8" s="13" t="inlineStr">
        <is>
          <t>Fall Pictures</t>
        </is>
      </c>
      <c r="B8" s="14" t="n">
        <v>3350.25</v>
      </c>
      <c r="C8" s="14" t="n">
        <v>3000</v>
      </c>
      <c r="D8" s="31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>
        <f>SUM(D8:O8)</f>
        <v/>
      </c>
      <c r="Q8" s="14" t="n"/>
    </row>
    <row r="9" ht="15" customHeight="1">
      <c r="A9" s="10" t="inlineStr">
        <is>
          <t>FAST</t>
        </is>
      </c>
      <c r="B9" s="11" t="n">
        <v>26370</v>
      </c>
      <c r="C9" s="11" t="n">
        <v>1000</v>
      </c>
      <c r="D9" s="3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>
        <f>SUM(D9:O9)</f>
        <v/>
      </c>
      <c r="Q9" s="11" t="n"/>
    </row>
    <row r="10" ht="15" customHeight="1">
      <c r="A10" s="13" t="inlineStr">
        <is>
          <t>Holiday Boutique</t>
        </is>
      </c>
      <c r="B10" s="14" t="n">
        <v>13417</v>
      </c>
      <c r="C10" s="14" t="n">
        <v>7500</v>
      </c>
      <c r="D10" s="31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>
        <f>SUM(D10:O10)</f>
        <v/>
      </c>
      <c r="Q10" s="14" t="n"/>
    </row>
    <row r="11" ht="15" customHeight="1">
      <c r="A11" s="10" t="inlineStr">
        <is>
          <t>Plant Sale</t>
        </is>
      </c>
      <c r="B11" s="11" t="n">
        <v>8202.68</v>
      </c>
      <c r="C11" s="11" t="n">
        <v>8000</v>
      </c>
      <c r="D11" s="3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>
        <f>SUM(D11:O11)</f>
        <v/>
      </c>
      <c r="Q11" s="11" t="n"/>
    </row>
    <row r="12" ht="15" customHeight="1">
      <c r="A12" s="13" t="inlineStr">
        <is>
          <t>Spiritwear</t>
        </is>
      </c>
      <c r="B12" s="14" t="n">
        <v>1253.96</v>
      </c>
      <c r="C12" s="14" t="n">
        <v>1500</v>
      </c>
      <c r="D12" s="31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>
        <f>SUM(D12:O12)</f>
        <v/>
      </c>
      <c r="Q12" s="14" t="n"/>
    </row>
    <row r="13" ht="15" customHeight="1">
      <c r="A13" s="10" t="inlineStr">
        <is>
          <t>Spring Pictures</t>
        </is>
      </c>
      <c r="B13" s="11" t="n"/>
      <c r="C13" s="11" t="n"/>
      <c r="D13" s="3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>
        <f>SUM(D13:O13)</f>
        <v/>
      </c>
      <c r="Q13" s="11" t="n"/>
    </row>
    <row r="14" ht="15" customHeight="1">
      <c r="A14" s="13" t="inlineStr">
        <is>
          <t>Ticket &amp; Raffle Sales</t>
        </is>
      </c>
      <c r="B14" s="14" t="n">
        <v>22165</v>
      </c>
      <c r="C14" s="14" t="n">
        <v>15000</v>
      </c>
      <c r="D14" s="31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>
        <f>SUM(D14:O14)</f>
        <v/>
      </c>
      <c r="Q14" s="14" t="n"/>
    </row>
    <row r="15" ht="15" customHeight="1">
      <c r="A15" s="10" t="inlineStr">
        <is>
          <t>Sponsors</t>
        </is>
      </c>
      <c r="B15" s="11" t="n">
        <v>7450</v>
      </c>
      <c r="C15" s="11" t="n">
        <v>4000</v>
      </c>
      <c r="D15" s="3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>
        <f>SUM(D15:O15)</f>
        <v/>
      </c>
      <c r="Q15" s="11" t="n"/>
    </row>
    <row r="16" ht="18" customHeight="1">
      <c r="A16" s="7" t="inlineStr">
        <is>
          <t>Total Fundraising</t>
        </is>
      </c>
      <c r="B16" s="8">
        <f>SUM(B5:B15)</f>
        <v/>
      </c>
      <c r="C16" s="8">
        <f>SUM(C5:C15)</f>
        <v/>
      </c>
      <c r="D16" s="8">
        <f>SUM(D5:D15)</f>
        <v/>
      </c>
      <c r="E16" s="8">
        <f>SUM(E5:E15)</f>
        <v/>
      </c>
      <c r="F16" s="8">
        <f>SUM(F5:F15)</f>
        <v/>
      </c>
      <c r="G16" s="8">
        <f>SUM(G5:G15)</f>
        <v/>
      </c>
      <c r="H16" s="8">
        <f>SUM(H5:H15)</f>
        <v/>
      </c>
      <c r="I16" s="8">
        <f>SUM(I5:I15)</f>
        <v/>
      </c>
      <c r="J16" s="8">
        <f>SUM(J5:J15)</f>
        <v/>
      </c>
      <c r="K16" s="8">
        <f>SUM(K5:K15)</f>
        <v/>
      </c>
      <c r="L16" s="8">
        <f>SUM(L5:L15)</f>
        <v/>
      </c>
      <c r="M16" s="8">
        <f>SUM(M5:M15)</f>
        <v/>
      </c>
      <c r="N16" s="8">
        <f>SUM(N5:N15)</f>
        <v/>
      </c>
      <c r="O16" s="8">
        <f>SUM(O5:O15)</f>
        <v/>
      </c>
      <c r="P16" s="8">
        <f>SUM(P5:P15)</f>
        <v/>
      </c>
      <c r="Q16" s="8">
        <f>SUM(Q5:Q15)</f>
        <v/>
      </c>
    </row>
    <row r="18" ht="18" customHeight="1">
      <c r="A18" s="30" t="inlineStr">
        <is>
          <t>Membership</t>
        </is>
      </c>
    </row>
    <row r="19" ht="15" customHeight="1">
      <c r="A19" s="10" t="inlineStr">
        <is>
          <t>Single</t>
        </is>
      </c>
      <c r="B19" s="11" t="n">
        <v>2580</v>
      </c>
      <c r="C19" s="11" t="n">
        <v>2000</v>
      </c>
      <c r="D19" s="3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>
        <f>SUM(D19:O19)</f>
        <v/>
      </c>
      <c r="Q19" s="11" t="n"/>
    </row>
    <row r="20" ht="15" customHeight="1">
      <c r="A20" s="13" t="inlineStr">
        <is>
          <t>Family</t>
        </is>
      </c>
      <c r="B20" s="14" t="n">
        <v>1675</v>
      </c>
      <c r="C20" s="14" t="n">
        <v>1000</v>
      </c>
      <c r="D20" s="31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>
        <f>SUM(D20:O20)</f>
        <v/>
      </c>
      <c r="Q20" s="14" t="n"/>
    </row>
    <row r="21" ht="15" customHeight="1">
      <c r="A21" s="10" t="inlineStr">
        <is>
          <t>Donations</t>
        </is>
      </c>
      <c r="B21" s="11" t="n">
        <v>290.63</v>
      </c>
      <c r="C21" s="11" t="n">
        <v>100</v>
      </c>
      <c r="D21" s="3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>
        <f>SUM(D21:O21)</f>
        <v/>
      </c>
      <c r="Q21" s="11" t="n"/>
    </row>
    <row r="22" ht="15" customHeight="1">
      <c r="A22" s="13" t="inlineStr">
        <is>
          <t>Teachers</t>
        </is>
      </c>
      <c r="B22" s="14" t="n"/>
      <c r="C22" s="14" t="n">
        <v>165</v>
      </c>
      <c r="D22" s="31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>
        <f>SUM(D22:O22)</f>
        <v/>
      </c>
      <c r="Q22" s="14" t="n"/>
    </row>
    <row r="23" ht="15" customHeight="1">
      <c r="A23" s="10" t="inlineStr">
        <is>
          <t>Student</t>
        </is>
      </c>
      <c r="B23" s="11" t="n"/>
      <c r="C23" s="11" t="n">
        <v>5</v>
      </c>
      <c r="D23" s="3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>
        <f>SUM(D23:O23)</f>
        <v/>
      </c>
      <c r="Q23" s="11" t="n"/>
    </row>
    <row r="24" ht="18" customHeight="1">
      <c r="A24" s="7" t="inlineStr">
        <is>
          <t>Total Membership</t>
        </is>
      </c>
      <c r="B24" s="8">
        <f>SUM(B19:B23)</f>
        <v/>
      </c>
      <c r="C24" s="8">
        <f>SUM(C19:C23)</f>
        <v/>
      </c>
      <c r="D24" s="8">
        <f>SUM(D19:D23)</f>
        <v/>
      </c>
      <c r="E24" s="8">
        <f>SUM(E19:E23)</f>
        <v/>
      </c>
      <c r="F24" s="8">
        <f>SUM(F19:F23)</f>
        <v/>
      </c>
      <c r="G24" s="8">
        <f>SUM(G19:G23)</f>
        <v/>
      </c>
      <c r="H24" s="8">
        <f>SUM(H19:H23)</f>
        <v/>
      </c>
      <c r="I24" s="8">
        <f>SUM(I19:I23)</f>
        <v/>
      </c>
      <c r="J24" s="8">
        <f>SUM(J19:J23)</f>
        <v/>
      </c>
      <c r="K24" s="8">
        <f>SUM(K19:K23)</f>
        <v/>
      </c>
      <c r="L24" s="8">
        <f>SUM(L19:L23)</f>
        <v/>
      </c>
      <c r="M24" s="8">
        <f>SUM(M19:M23)</f>
        <v/>
      </c>
      <c r="N24" s="8">
        <f>SUM(N19:N23)</f>
        <v/>
      </c>
      <c r="O24" s="8">
        <f>SUM(O19:O23)</f>
        <v/>
      </c>
      <c r="P24" s="8">
        <f>SUM(P19:P23)</f>
        <v/>
      </c>
      <c r="Q24" s="8">
        <f>SUM(Q19:Q23)</f>
        <v/>
      </c>
    </row>
    <row r="26" ht="18" customHeight="1">
      <c r="A26" s="30" t="inlineStr">
        <is>
          <t>Program</t>
        </is>
      </c>
    </row>
    <row r="27" ht="15" customHeight="1">
      <c r="A27" s="10" t="inlineStr">
        <is>
          <t>Gingerbread U</t>
        </is>
      </c>
      <c r="B27" s="11" t="n">
        <v>3515</v>
      </c>
      <c r="C27" s="11" t="n"/>
      <c r="D27" s="3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>
        <f>SUM(D27:O27)</f>
        <v/>
      </c>
      <c r="Q27" s="11" t="n"/>
    </row>
    <row r="28" ht="15" customHeight="1">
      <c r="A28" s="13" t="inlineStr">
        <is>
          <t>Staff Appreciation</t>
        </is>
      </c>
      <c r="B28" s="14" t="n">
        <v>1625</v>
      </c>
      <c r="C28" s="14" t="n">
        <v>1000</v>
      </c>
      <c r="D28" s="31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>
        <f>SUM(D28:O28)</f>
        <v/>
      </c>
      <c r="Q28" s="14" t="n"/>
    </row>
    <row r="29" ht="15" customHeight="1">
      <c r="A29" s="10" t="inlineStr">
        <is>
          <t>Talent Show</t>
        </is>
      </c>
      <c r="B29" s="11" t="n">
        <v>1070</v>
      </c>
      <c r="C29" s="11" t="n">
        <v>750</v>
      </c>
      <c r="D29" s="3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>
        <f>SUM(D29:O29)</f>
        <v/>
      </c>
      <c r="Q29" s="11" t="n"/>
    </row>
    <row r="30" ht="18" customHeight="1">
      <c r="A30" s="7" t="inlineStr">
        <is>
          <t>Total Program</t>
        </is>
      </c>
      <c r="B30" s="8">
        <f>SUM(B27:B29)</f>
        <v/>
      </c>
      <c r="C30" s="8">
        <f>SUM(C27:C29)</f>
        <v/>
      </c>
      <c r="D30" s="8">
        <f>SUM(D27:D29)</f>
        <v/>
      </c>
      <c r="E30" s="8">
        <f>SUM(E27:E29)</f>
        <v/>
      </c>
      <c r="F30" s="8">
        <f>SUM(F27:F29)</f>
        <v/>
      </c>
      <c r="G30" s="8">
        <f>SUM(G27:G29)</f>
        <v/>
      </c>
      <c r="H30" s="8">
        <f>SUM(H27:H29)</f>
        <v/>
      </c>
      <c r="I30" s="8">
        <f>SUM(I27:I29)</f>
        <v/>
      </c>
      <c r="J30" s="8">
        <f>SUM(J27:J29)</f>
        <v/>
      </c>
      <c r="K30" s="8">
        <f>SUM(K27:K29)</f>
        <v/>
      </c>
      <c r="L30" s="8">
        <f>SUM(L27:L29)</f>
        <v/>
      </c>
      <c r="M30" s="8">
        <f>SUM(M27:M29)</f>
        <v/>
      </c>
      <c r="N30" s="8">
        <f>SUM(N27:N29)</f>
        <v/>
      </c>
      <c r="O30" s="8">
        <f>SUM(O27:O29)</f>
        <v/>
      </c>
      <c r="P30" s="8">
        <f>SUM(P27:P29)</f>
        <v/>
      </c>
      <c r="Q30" s="8">
        <f>SUM(Q27:Q29)</f>
        <v/>
      </c>
    </row>
    <row r="32" ht="18" customHeight="1">
      <c r="A32" s="30" t="inlineStr">
        <is>
          <t>Grad Class Activities</t>
        </is>
      </c>
    </row>
    <row r="33" ht="15" customHeight="1">
      <c r="A33" s="10" t="inlineStr">
        <is>
          <t>Family Contributions</t>
        </is>
      </c>
      <c r="B33" s="11" t="n">
        <v>6480</v>
      </c>
      <c r="C33" s="11" t="n">
        <v>3900</v>
      </c>
      <c r="D33" s="3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>
        <f>SUM(D33:O33)</f>
        <v/>
      </c>
      <c r="Q33" s="11" t="n"/>
    </row>
    <row r="34" ht="15" customHeight="1">
      <c r="A34" s="13" t="inlineStr">
        <is>
          <t>Lawn Signs</t>
        </is>
      </c>
      <c r="B34" s="14" t="n">
        <v>2560</v>
      </c>
      <c r="C34" s="14" t="n">
        <v>750</v>
      </c>
      <c r="D34" s="31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>
        <f>SUM(D34:O34)</f>
        <v/>
      </c>
      <c r="Q34" s="14" t="n"/>
    </row>
    <row r="35" ht="15" customHeight="1">
      <c r="A35" s="10" t="inlineStr">
        <is>
          <t>Treat or Trunk</t>
        </is>
      </c>
      <c r="B35" s="11" t="n">
        <v>1250</v>
      </c>
      <c r="C35" s="11" t="n">
        <v>975</v>
      </c>
      <c r="D35" s="3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>
        <f>SUM(D35:O35)</f>
        <v/>
      </c>
      <c r="Q35" s="11" t="n"/>
    </row>
    <row r="36" ht="15" customHeight="1">
      <c r="A36" s="13" t="inlineStr">
        <is>
          <t>The Night at Rinx</t>
        </is>
      </c>
      <c r="B36" s="14" t="n"/>
      <c r="C36" s="14" t="n"/>
      <c r="D36" s="31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>
        <f>SUM(D36:O36)</f>
        <v/>
      </c>
      <c r="Q36" s="14" t="n"/>
    </row>
    <row r="37" ht="18" customHeight="1">
      <c r="A37" s="7" t="inlineStr">
        <is>
          <t>Total Grad Class Activities</t>
        </is>
      </c>
      <c r="B37" s="8">
        <f>SUM(B33:B36)</f>
        <v/>
      </c>
      <c r="C37" s="8">
        <f>SUM(C33:C36)</f>
        <v/>
      </c>
      <c r="D37" s="8">
        <f>SUM(D33:D36)</f>
        <v/>
      </c>
      <c r="E37" s="8">
        <f>SUM(E33:E36)</f>
        <v/>
      </c>
      <c r="F37" s="8">
        <f>SUM(F33:F36)</f>
        <v/>
      </c>
      <c r="G37" s="8">
        <f>SUM(G33:G36)</f>
        <v/>
      </c>
      <c r="H37" s="8">
        <f>SUM(H33:H36)</f>
        <v/>
      </c>
      <c r="I37" s="8">
        <f>SUM(I33:I36)</f>
        <v/>
      </c>
      <c r="J37" s="8">
        <f>SUM(J33:J36)</f>
        <v/>
      </c>
      <c r="K37" s="8">
        <f>SUM(K33:K36)</f>
        <v/>
      </c>
      <c r="L37" s="8">
        <f>SUM(L33:L36)</f>
        <v/>
      </c>
      <c r="M37" s="8">
        <f>SUM(M33:M36)</f>
        <v/>
      </c>
      <c r="N37" s="8">
        <f>SUM(N33:N36)</f>
        <v/>
      </c>
      <c r="O37" s="8">
        <f>SUM(O33:O36)</f>
        <v/>
      </c>
      <c r="P37" s="8">
        <f>SUM(P33:P36)</f>
        <v/>
      </c>
      <c r="Q37" s="8">
        <f>SUM(Q33:Q36)</f>
        <v/>
      </c>
    </row>
    <row r="39" ht="20" customHeight="1">
      <c r="A39" s="32" t="inlineStr">
        <is>
          <t>GRAND TOTAL</t>
        </is>
      </c>
      <c r="B39" s="33">
        <f>SUMIF(A4:A38,"Total*",B4:B38)</f>
        <v/>
      </c>
      <c r="C39" s="33">
        <f>SUMIF(A4:A38,"Total*",C4:C38)</f>
        <v/>
      </c>
      <c r="D39" s="33">
        <f>SUMIF(A4:A38,"Total*",D4:D38)</f>
        <v/>
      </c>
      <c r="E39" s="33">
        <f>SUMIF(A4:A38,"Total*",E4:E38)</f>
        <v/>
      </c>
      <c r="F39" s="33">
        <f>SUMIF(A4:A38,"Total*",F4:F38)</f>
        <v/>
      </c>
      <c r="G39" s="33">
        <f>SUMIF(A4:A38,"Total*",G4:G38)</f>
        <v/>
      </c>
      <c r="H39" s="33">
        <f>SUMIF(A4:A38,"Total*",H4:H38)</f>
        <v/>
      </c>
      <c r="I39" s="33">
        <f>SUMIF(A4:A38,"Total*",I4:I38)</f>
        <v/>
      </c>
      <c r="J39" s="33">
        <f>SUMIF(A4:A38,"Total*",J4:J38)</f>
        <v/>
      </c>
      <c r="K39" s="33">
        <f>SUMIF(A4:A38,"Total*",K4:K38)</f>
        <v/>
      </c>
      <c r="L39" s="33">
        <f>SUMIF(A4:A38,"Total*",L4:L38)</f>
        <v/>
      </c>
      <c r="M39" s="33">
        <f>SUMIF(A4:A38,"Total*",M4:M38)</f>
        <v/>
      </c>
      <c r="N39" s="33">
        <f>SUMIF(A4:A38,"Total*",N4:N38)</f>
        <v/>
      </c>
      <c r="O39" s="33">
        <f>SUMIF(A4:A38,"Total*",O4:O38)</f>
        <v/>
      </c>
      <c r="P39" s="33">
        <f>SUMIF(A4:A38,"Total*",P4:P38)</f>
        <v/>
      </c>
      <c r="Q39" s="33">
        <f>SUMIF(A4:A38,"Total*",Q4:Q38)</f>
        <v/>
      </c>
    </row>
  </sheetData>
  <mergeCells count="6">
    <mergeCell ref="A1:Q1"/>
    <mergeCell ref="A2:Q2"/>
    <mergeCell ref="A4:Q4"/>
    <mergeCell ref="A18:Q18"/>
    <mergeCell ref="A26:Q26"/>
    <mergeCell ref="A32:Q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11" customWidth="1" min="16" max="16"/>
    <col width="11" customWidth="1" min="17" max="17"/>
  </cols>
  <sheetData>
    <row r="1" ht="26" customHeight="1">
      <c r="A1" s="25" t="inlineStr">
        <is>
          <t>SETAUKET SCHOOL PTA  -  Budget vs Actuals - Expenses</t>
        </is>
      </c>
    </row>
    <row r="2">
      <c r="A2" s="26" t="inlineStr">
        <is>
          <t>As of July 22, 2026  |  Fiscal Year July 2025 - June 2026  |  Active month: JULY</t>
        </is>
      </c>
    </row>
    <row r="3" ht="30" customHeight="1">
      <c r="A3" s="27" t="inlineStr">
        <is>
          <t>Category</t>
        </is>
      </c>
      <c r="B3" s="28" t="inlineStr">
        <is>
          <t>Last Year</t>
        </is>
      </c>
      <c r="C3" s="28" t="inlineStr">
        <is>
          <t>Budget (Annual)</t>
        </is>
      </c>
      <c r="D3" s="29" t="inlineStr">
        <is>
          <t>JULY</t>
        </is>
      </c>
      <c r="E3" s="28" t="inlineStr">
        <is>
          <t>AUG</t>
        </is>
      </c>
      <c r="F3" s="28" t="inlineStr">
        <is>
          <t>SEPT</t>
        </is>
      </c>
      <c r="G3" s="28" t="inlineStr">
        <is>
          <t>OCT</t>
        </is>
      </c>
      <c r="H3" s="28" t="inlineStr">
        <is>
          <t>NOV</t>
        </is>
      </c>
      <c r="I3" s="28" t="inlineStr">
        <is>
          <t>DEC</t>
        </is>
      </c>
      <c r="J3" s="28" t="inlineStr">
        <is>
          <t>JAN</t>
        </is>
      </c>
      <c r="K3" s="28" t="inlineStr">
        <is>
          <t>FEB</t>
        </is>
      </c>
      <c r="L3" s="28" t="inlineStr">
        <is>
          <t>MAR</t>
        </is>
      </c>
      <c r="M3" s="28" t="inlineStr">
        <is>
          <t>APR</t>
        </is>
      </c>
      <c r="N3" s="28" t="inlineStr">
        <is>
          <t>MAY</t>
        </is>
      </c>
      <c r="O3" s="28" t="inlineStr">
        <is>
          <t>JUNE</t>
        </is>
      </c>
      <c r="P3" s="28" t="inlineStr">
        <is>
          <t>Total</t>
        </is>
      </c>
      <c r="Q3" s="28" t="inlineStr">
        <is>
          <t>Profit/Loss</t>
        </is>
      </c>
    </row>
    <row r="4" ht="18" customHeight="1">
      <c r="A4" s="30" t="inlineStr">
        <is>
          <t>Admin/General/Membership</t>
        </is>
      </c>
    </row>
    <row r="5" ht="15" customHeight="1">
      <c r="A5" s="10" t="inlineStr">
        <is>
          <t>Accountant</t>
        </is>
      </c>
      <c r="B5" s="11" t="n">
        <v>650</v>
      </c>
      <c r="C5" s="11" t="n">
        <v>650</v>
      </c>
      <c r="D5" s="3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>
        <f>SUM(D5:O5)</f>
        <v/>
      </c>
      <c r="Q5" s="11" t="n"/>
    </row>
    <row r="6" ht="15" customHeight="1">
      <c r="A6" s="13" t="inlineStr">
        <is>
          <t>Bank Services</t>
        </is>
      </c>
      <c r="B6" s="14" t="n">
        <v>234.94</v>
      </c>
      <c r="C6" s="14" t="n">
        <v>200</v>
      </c>
      <c r="D6" s="31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>
        <f>SUM(D6:O6)</f>
        <v/>
      </c>
      <c r="Q6" s="14" t="n"/>
    </row>
    <row r="7" ht="15" customHeight="1">
      <c r="A7" s="10" t="inlineStr">
        <is>
          <t>Insurance</t>
        </is>
      </c>
      <c r="B7" s="11" t="n">
        <v>350</v>
      </c>
      <c r="C7" s="11" t="n">
        <v>350</v>
      </c>
      <c r="D7" s="3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>
        <f>SUM(D7:O7)</f>
        <v/>
      </c>
      <c r="Q7" s="11" t="n"/>
    </row>
    <row r="8" ht="15" customHeight="1">
      <c r="A8" s="13" t="inlineStr">
        <is>
          <t>Supplies</t>
        </is>
      </c>
      <c r="B8" s="14" t="n">
        <v>450.22</v>
      </c>
      <c r="C8" s="14" t="n">
        <v>500</v>
      </c>
      <c r="D8" s="31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>
        <f>SUM(D8:O8)</f>
        <v/>
      </c>
      <c r="Q8" s="14" t="n"/>
    </row>
    <row r="9" ht="15" customHeight="1">
      <c r="A9" s="10" t="inlineStr">
        <is>
          <t>Accounting Quickbooks</t>
        </is>
      </c>
      <c r="B9" s="11" t="n">
        <v>410.66</v>
      </c>
      <c r="C9" s="11" t="n">
        <v>1300</v>
      </c>
      <c r="D9" s="34" t="n">
        <v>1257.76</v>
      </c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>
        <f>SUM(D9:O9)</f>
        <v/>
      </c>
      <c r="Q9" s="11" t="n">
        <v>-1257.76</v>
      </c>
    </row>
    <row r="10" ht="15" customHeight="1">
      <c r="A10" s="13" t="inlineStr">
        <is>
          <t>Training</t>
        </is>
      </c>
      <c r="B10" s="14" t="n">
        <v>68.90000000000001</v>
      </c>
      <c r="C10" s="14" t="n">
        <v>100</v>
      </c>
      <c r="D10" s="31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>
        <f>SUM(D10:O10)</f>
        <v/>
      </c>
      <c r="Q10" s="14" t="n"/>
    </row>
    <row r="11" ht="15" customHeight="1">
      <c r="A11" s="10" t="inlineStr">
        <is>
          <t>Website &amp; Remind App</t>
        </is>
      </c>
      <c r="B11" s="11" t="n">
        <v>344.01</v>
      </c>
      <c r="C11" s="11" t="n">
        <v>1000</v>
      </c>
      <c r="D11" s="3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>
        <f>SUM(D11:O11)</f>
        <v/>
      </c>
      <c r="Q11" s="11" t="n"/>
    </row>
    <row r="12" ht="15" customHeight="1">
      <c r="A12" s="13" t="inlineStr">
        <is>
          <t>Event Equipment</t>
        </is>
      </c>
      <c r="B12" s="14" t="n">
        <v>563.3200000000001</v>
      </c>
      <c r="C12" s="14" t="n">
        <v>1000</v>
      </c>
      <c r="D12" s="31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>
        <f>SUM(D12:O12)</f>
        <v/>
      </c>
      <c r="Q12" s="14" t="n"/>
    </row>
    <row r="13" ht="15" customHeight="1">
      <c r="A13" s="10" t="inlineStr">
        <is>
          <t>Council Dues</t>
        </is>
      </c>
      <c r="B13" s="11" t="n">
        <v>125</v>
      </c>
      <c r="C13" s="11" t="n">
        <v>150</v>
      </c>
      <c r="D13" s="3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>
        <f>SUM(D13:O13)</f>
        <v/>
      </c>
      <c r="Q13" s="11" t="n"/>
    </row>
    <row r="14" ht="15" customHeight="1">
      <c r="A14" s="13" t="inlineStr">
        <is>
          <t>Membership Expenses</t>
        </is>
      </c>
      <c r="B14" s="14" t="n">
        <v>1034</v>
      </c>
      <c r="C14" s="14" t="n">
        <v>1500</v>
      </c>
      <c r="D14" s="31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>
        <f>SUM(D14:O14)</f>
        <v/>
      </c>
      <c r="Q14" s="14" t="n"/>
    </row>
    <row r="15" ht="18" customHeight="1">
      <c r="A15" s="7" t="inlineStr">
        <is>
          <t>Total Admin/General/Membership</t>
        </is>
      </c>
      <c r="B15" s="8">
        <f>SUM(B5:B14)</f>
        <v/>
      </c>
      <c r="C15" s="8">
        <f>SUM(C5:C14)</f>
        <v/>
      </c>
      <c r="D15" s="8">
        <f>SUM(D5:D14)</f>
        <v/>
      </c>
      <c r="E15" s="8">
        <f>SUM(E5:E14)</f>
        <v/>
      </c>
      <c r="F15" s="8">
        <f>SUM(F5:F14)</f>
        <v/>
      </c>
      <c r="G15" s="8">
        <f>SUM(G5:G14)</f>
        <v/>
      </c>
      <c r="H15" s="8">
        <f>SUM(H5:H14)</f>
        <v/>
      </c>
      <c r="I15" s="8">
        <f>SUM(I5:I14)</f>
        <v/>
      </c>
      <c r="J15" s="8">
        <f>SUM(J5:J14)</f>
        <v/>
      </c>
      <c r="K15" s="8">
        <f>SUM(K5:K14)</f>
        <v/>
      </c>
      <c r="L15" s="8">
        <f>SUM(L5:L14)</f>
        <v/>
      </c>
      <c r="M15" s="8">
        <f>SUM(M5:M14)</f>
        <v/>
      </c>
      <c r="N15" s="8">
        <f>SUM(N5:N14)</f>
        <v/>
      </c>
      <c r="O15" s="8">
        <f>SUM(O5:O14)</f>
        <v/>
      </c>
      <c r="P15" s="8">
        <f>SUM(P5:P14)</f>
        <v/>
      </c>
      <c r="Q15" s="8">
        <f>SUM(Q5:Q14)</f>
        <v/>
      </c>
    </row>
    <row r="17" ht="18" customHeight="1">
      <c r="A17" s="30" t="inlineStr">
        <is>
          <t>Fundraising</t>
        </is>
      </c>
    </row>
    <row r="18" ht="15" customHeight="1">
      <c r="A18" s="10" t="inlineStr">
        <is>
          <t>Entertainment</t>
        </is>
      </c>
      <c r="B18" s="11" t="n">
        <v>1405.42</v>
      </c>
      <c r="C18" s="11" t="n">
        <v>1000</v>
      </c>
      <c r="D18" s="3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>
        <f>SUM(D18:O18)</f>
        <v/>
      </c>
      <c r="Q18" s="11" t="n"/>
    </row>
    <row r="19" ht="15" customHeight="1">
      <c r="A19" s="13" t="inlineStr">
        <is>
          <t>Raffles</t>
        </is>
      </c>
      <c r="B19" s="14" t="n">
        <v>1831.7</v>
      </c>
      <c r="C19" s="14" t="n">
        <v>2000</v>
      </c>
      <c r="D19" s="31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>
        <f>SUM(D19:O19)</f>
        <v/>
      </c>
      <c r="Q19" s="14" t="n"/>
    </row>
    <row r="20" ht="15" customHeight="1">
      <c r="A20" s="10" t="inlineStr">
        <is>
          <t>Venue</t>
        </is>
      </c>
      <c r="B20" s="11" t="n">
        <v>8265.200000000001</v>
      </c>
      <c r="C20" s="11" t="n">
        <v>10000</v>
      </c>
      <c r="D20" s="3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>
        <f>SUM(D20:O20)</f>
        <v/>
      </c>
      <c r="Q20" s="11" t="n"/>
    </row>
    <row r="21" ht="15" customHeight="1">
      <c r="A21" s="13" t="inlineStr">
        <is>
          <t>Birthday Books</t>
        </is>
      </c>
      <c r="B21" s="14" t="n">
        <v>503.39</v>
      </c>
      <c r="C21" s="14" t="n">
        <v>500</v>
      </c>
      <c r="D21" s="31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>
        <f>SUM(D21:O21)</f>
        <v/>
      </c>
      <c r="Q21" s="14" t="n"/>
    </row>
    <row r="22" ht="15" customHeight="1">
      <c r="A22" s="10" t="inlineStr">
        <is>
          <t>Book Fair</t>
        </is>
      </c>
      <c r="B22" s="11" t="n">
        <v>9523.91</v>
      </c>
      <c r="C22" s="11" t="n">
        <v>10000</v>
      </c>
      <c r="D22" s="3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>
        <f>SUM(D22:O22)</f>
        <v/>
      </c>
      <c r="Q22" s="11" t="n"/>
    </row>
    <row r="23" ht="15" customHeight="1">
      <c r="A23" s="13" t="inlineStr">
        <is>
          <t>Croc Charms</t>
        </is>
      </c>
      <c r="B23" s="14" t="n">
        <v>205</v>
      </c>
      <c r="C23" s="14" t="n"/>
      <c r="D23" s="31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>
        <f>SUM(D23:O23)</f>
        <v/>
      </c>
      <c r="Q23" s="14" t="n"/>
    </row>
    <row r="24" ht="15" customHeight="1">
      <c r="A24" s="10" t="inlineStr">
        <is>
          <t>Fall Pictures</t>
        </is>
      </c>
      <c r="B24" s="11" t="n"/>
      <c r="C24" s="11" t="n"/>
      <c r="D24" s="3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>
        <f>SUM(D24:O24)</f>
        <v/>
      </c>
      <c r="Q24" s="11" t="n"/>
    </row>
    <row r="25" ht="15" customHeight="1">
      <c r="A25" s="13" t="inlineStr">
        <is>
          <t>FAST</t>
        </is>
      </c>
      <c r="B25" s="14" t="n">
        <v>24000</v>
      </c>
      <c r="C25" s="14" t="n">
        <v>17000</v>
      </c>
      <c r="D25" s="31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>
        <f>SUM(D25:O25)</f>
        <v/>
      </c>
      <c r="Q25" s="14" t="n"/>
    </row>
    <row r="26" ht="15" customHeight="1">
      <c r="A26" s="10" t="inlineStr">
        <is>
          <t>Holiday Boutique</t>
        </is>
      </c>
      <c r="B26" s="11" t="n">
        <v>11714.86</v>
      </c>
      <c r="C26" s="11" t="n">
        <v>10000</v>
      </c>
      <c r="D26" s="3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>
        <f>SUM(D26:O26)</f>
        <v/>
      </c>
      <c r="Q26" s="11" t="n"/>
    </row>
    <row r="27" ht="15" customHeight="1">
      <c r="A27" s="13" t="inlineStr">
        <is>
          <t>Plant Sale</t>
        </is>
      </c>
      <c r="B27" s="14" t="n">
        <v>5615.95</v>
      </c>
      <c r="C27" s="14" t="n">
        <v>6000</v>
      </c>
      <c r="D27" s="31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>
        <f>SUM(D27:O27)</f>
        <v/>
      </c>
      <c r="Q27" s="14" t="n"/>
    </row>
    <row r="28" ht="15" customHeight="1">
      <c r="A28" s="10" t="inlineStr">
        <is>
          <t>Spiritwear</t>
        </is>
      </c>
      <c r="B28" s="11" t="n"/>
      <c r="C28" s="11" t="n">
        <v>1000</v>
      </c>
      <c r="D28" s="3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>
        <f>SUM(D28:O28)</f>
        <v/>
      </c>
      <c r="Q28" s="11" t="n"/>
    </row>
    <row r="29" ht="15" customHeight="1">
      <c r="A29" s="13" t="inlineStr">
        <is>
          <t>Spring Pictures</t>
        </is>
      </c>
      <c r="B29" s="14" t="n"/>
      <c r="C29" s="14" t="n"/>
      <c r="D29" s="31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>
        <f>SUM(D29:O29)</f>
        <v/>
      </c>
      <c r="Q29" s="14" t="n"/>
    </row>
    <row r="30" ht="18" customHeight="1">
      <c r="A30" s="7" t="inlineStr">
        <is>
          <t>Total Fundraising</t>
        </is>
      </c>
      <c r="B30" s="8">
        <f>SUM(B18:B29)</f>
        <v/>
      </c>
      <c r="C30" s="8">
        <f>SUM(C18:C29)</f>
        <v/>
      </c>
      <c r="D30" s="8">
        <f>SUM(D18:D29)</f>
        <v/>
      </c>
      <c r="E30" s="8">
        <f>SUM(E18:E29)</f>
        <v/>
      </c>
      <c r="F30" s="8">
        <f>SUM(F18:F29)</f>
        <v/>
      </c>
      <c r="G30" s="8">
        <f>SUM(G18:G29)</f>
        <v/>
      </c>
      <c r="H30" s="8">
        <f>SUM(H18:H29)</f>
        <v/>
      </c>
      <c r="I30" s="8">
        <f>SUM(I18:I29)</f>
        <v/>
      </c>
      <c r="J30" s="8">
        <f>SUM(J18:J29)</f>
        <v/>
      </c>
      <c r="K30" s="8">
        <f>SUM(K18:K29)</f>
        <v/>
      </c>
      <c r="L30" s="8">
        <f>SUM(L18:L29)</f>
        <v/>
      </c>
      <c r="M30" s="8">
        <f>SUM(M18:M29)</f>
        <v/>
      </c>
      <c r="N30" s="8">
        <f>SUM(N18:N29)</f>
        <v/>
      </c>
      <c r="O30" s="8">
        <f>SUM(O18:O29)</f>
        <v/>
      </c>
      <c r="P30" s="8">
        <f>SUM(P18:P29)</f>
        <v/>
      </c>
      <c r="Q30" s="8">
        <f>SUM(Q18:Q29)</f>
        <v/>
      </c>
    </row>
    <row r="32" ht="18" customHeight="1">
      <c r="A32" s="30" t="inlineStr">
        <is>
          <t>Programs</t>
        </is>
      </c>
    </row>
    <row r="33" ht="15" customHeight="1">
      <c r="A33" s="10" t="inlineStr">
        <is>
          <t>Bus Driver Appreciation</t>
        </is>
      </c>
      <c r="B33" s="11" t="n">
        <v>240</v>
      </c>
      <c r="C33" s="11" t="n">
        <v>300</v>
      </c>
      <c r="D33" s="3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>
        <f>SUM(D33:O33)</f>
        <v/>
      </c>
      <c r="Q33" s="11" t="n"/>
    </row>
    <row r="34" ht="15" customHeight="1">
      <c r="A34" s="13" t="inlineStr">
        <is>
          <t>Electric Parade</t>
        </is>
      </c>
      <c r="B34" s="14" t="n">
        <v>371.89</v>
      </c>
      <c r="C34" s="14" t="n">
        <v>200</v>
      </c>
      <c r="D34" s="31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>
        <f>SUM(D34:O34)</f>
        <v/>
      </c>
      <c r="Q34" s="14" t="n"/>
    </row>
    <row r="35" ht="15" customHeight="1">
      <c r="A35" s="10" t="inlineStr">
        <is>
          <t>Family Connect Nights</t>
        </is>
      </c>
      <c r="B35" s="11" t="n">
        <v>771</v>
      </c>
      <c r="C35" s="11" t="n">
        <v>1500</v>
      </c>
      <c r="D35" s="3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>
        <f>SUM(D35:O35)</f>
        <v/>
      </c>
      <c r="Q35" s="11" t="n"/>
    </row>
    <row r="36" ht="15" customHeight="1">
      <c r="A36" s="13" t="inlineStr">
        <is>
          <t>Gingerbread U</t>
        </is>
      </c>
      <c r="B36" s="14" t="n">
        <v>4245.66</v>
      </c>
      <c r="C36" s="14" t="n">
        <v>4500</v>
      </c>
      <c r="D36" s="31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>
        <f>SUM(D36:O36)</f>
        <v/>
      </c>
      <c r="Q36" s="14" t="n"/>
    </row>
    <row r="37" ht="15" customHeight="1">
      <c r="A37" s="10" t="inlineStr">
        <is>
          <t>Homecoming</t>
        </is>
      </c>
      <c r="B37" s="11" t="n">
        <v>266.31</v>
      </c>
      <c r="C37" s="11" t="n">
        <v>150</v>
      </c>
      <c r="D37" s="3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>
        <f>SUM(D37:O37)</f>
        <v/>
      </c>
      <c r="Q37" s="11" t="n"/>
    </row>
    <row r="38" ht="15" customHeight="1">
      <c r="A38" s="13" t="inlineStr">
        <is>
          <t>K Playdate</t>
        </is>
      </c>
      <c r="B38" s="14" t="n">
        <v>83.13</v>
      </c>
      <c r="C38" s="14" t="n">
        <v>300</v>
      </c>
      <c r="D38" s="31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>
        <f>SUM(D38:O38)</f>
        <v/>
      </c>
      <c r="Q38" s="14" t="n"/>
    </row>
    <row r="39" ht="15" customHeight="1">
      <c r="A39" s="10" t="inlineStr">
        <is>
          <t>K Orientation</t>
        </is>
      </c>
      <c r="B39" s="11" t="n"/>
      <c r="C39" s="11" t="n">
        <v>400</v>
      </c>
      <c r="D39" s="3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>
        <f>SUM(D39:O39)</f>
        <v/>
      </c>
      <c r="Q39" s="11" t="n"/>
    </row>
    <row r="40" ht="15" customHeight="1">
      <c r="A40" s="13" t="inlineStr">
        <is>
          <t>Milk &amp; Cookies</t>
        </is>
      </c>
      <c r="B40" s="14" t="n">
        <v>358.07</v>
      </c>
      <c r="C40" s="14" t="n">
        <v>750</v>
      </c>
      <c r="D40" s="31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>
        <f>SUM(D40:O40)</f>
        <v/>
      </c>
      <c r="Q40" s="14" t="n"/>
    </row>
    <row r="41" ht="15" customHeight="1">
      <c r="A41" s="10" t="inlineStr">
        <is>
          <t>Multicultural Night</t>
        </is>
      </c>
      <c r="B41" s="11" t="n">
        <v>2022.51</v>
      </c>
      <c r="C41" s="11" t="n">
        <v>2500</v>
      </c>
      <c r="D41" s="3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>
        <f>SUM(D41:O41)</f>
        <v/>
      </c>
      <c r="Q41" s="11" t="n"/>
    </row>
    <row r="42" ht="15" customHeight="1">
      <c r="A42" s="13" t="inlineStr">
        <is>
          <t>Outdoor Movie</t>
        </is>
      </c>
      <c r="B42" s="14" t="n">
        <v>1884.2</v>
      </c>
      <c r="C42" s="14" t="n">
        <v>2500</v>
      </c>
      <c r="D42" s="31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>
        <f>SUM(D42:O42)</f>
        <v/>
      </c>
      <c r="Q42" s="14" t="n"/>
    </row>
    <row r="43" ht="15" customHeight="1">
      <c r="A43" s="10" t="inlineStr">
        <is>
          <t>Science Fair</t>
        </is>
      </c>
      <c r="B43" s="11" t="n">
        <v>883.54</v>
      </c>
      <c r="C43" s="11" t="n">
        <v>1500</v>
      </c>
      <c r="D43" s="3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>
        <f>SUM(D43:O43)</f>
        <v/>
      </c>
      <c r="Q43" s="11" t="n"/>
    </row>
    <row r="44" ht="15" customHeight="1">
      <c r="A44" s="13" t="inlineStr">
        <is>
          <t>Spring Fling</t>
        </is>
      </c>
      <c r="B44" s="14" t="n"/>
      <c r="C44" s="14" t="n">
        <v>2500</v>
      </c>
      <c r="D44" s="31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>
        <f>SUM(D44:O44)</f>
        <v/>
      </c>
      <c r="Q44" s="14" t="n"/>
    </row>
    <row r="45" ht="15" customHeight="1">
      <c r="A45" s="10" t="inlineStr">
        <is>
          <t>Spring Dance K-5</t>
        </is>
      </c>
      <c r="B45" s="11" t="n"/>
      <c r="C45" s="11" t="n">
        <v>500</v>
      </c>
      <c r="D45" s="3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>
        <f>SUM(D45:O45)</f>
        <v/>
      </c>
      <c r="Q45" s="11" t="n"/>
    </row>
    <row r="46" ht="15" customHeight="1">
      <c r="A46" s="13" t="inlineStr">
        <is>
          <t>Staff Appreciation</t>
        </is>
      </c>
      <c r="B46" s="14" t="n">
        <v>3840</v>
      </c>
      <c r="C46" s="14" t="n">
        <v>4000</v>
      </c>
      <c r="D46" s="31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>
        <f>SUM(D46:O46)</f>
        <v/>
      </c>
      <c r="Q46" s="14" t="n"/>
    </row>
    <row r="47" ht="15" customHeight="1">
      <c r="A47" s="10" t="inlineStr">
        <is>
          <t>Talent Show</t>
        </is>
      </c>
      <c r="B47" s="11" t="n">
        <v>340.62</v>
      </c>
      <c r="C47" s="11" t="n">
        <v>1000</v>
      </c>
      <c r="D47" s="3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>
        <f>SUM(D47:O47)</f>
        <v/>
      </c>
      <c r="Q47" s="11" t="n"/>
    </row>
    <row r="48" ht="15" customHeight="1">
      <c r="A48" s="13" t="inlineStr">
        <is>
          <t>Talent Show DJ</t>
        </is>
      </c>
      <c r="B48" s="14" t="n">
        <v>550</v>
      </c>
      <c r="C48" s="14" t="n">
        <v>500</v>
      </c>
      <c r="D48" s="31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>
        <f>SUM(D48:O48)</f>
        <v/>
      </c>
      <c r="Q48" s="14" t="n"/>
    </row>
    <row r="49" ht="15" customHeight="1">
      <c r="A49" s="10" t="inlineStr">
        <is>
          <t>Volunteer Breakfast</t>
        </is>
      </c>
      <c r="B49" s="11" t="n">
        <v>64</v>
      </c>
      <c r="C49" s="11" t="n">
        <v>350</v>
      </c>
      <c r="D49" s="3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>
        <f>SUM(D49:O49)</f>
        <v/>
      </c>
      <c r="Q49" s="11" t="n"/>
    </row>
    <row r="50" ht="15" customHeight="1">
      <c r="A50" s="13" t="inlineStr">
        <is>
          <t>Welcome Back Breakfast</t>
        </is>
      </c>
      <c r="B50" s="14" t="n">
        <v>582.66</v>
      </c>
      <c r="C50" s="14" t="n">
        <v>1000</v>
      </c>
      <c r="D50" s="31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>
        <f>SUM(D50:O50)</f>
        <v/>
      </c>
      <c r="Q50" s="14" t="n"/>
    </row>
    <row r="51" ht="15" customHeight="1">
      <c r="A51" s="10" t="inlineStr">
        <is>
          <t>WINGO</t>
        </is>
      </c>
      <c r="B51" s="11" t="n"/>
      <c r="C51" s="11" t="n">
        <v>500</v>
      </c>
      <c r="D51" s="3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>
        <f>SUM(D51:O51)</f>
        <v/>
      </c>
      <c r="Q51" s="11" t="n"/>
    </row>
    <row r="52" ht="18" customHeight="1">
      <c r="A52" s="7" t="inlineStr">
        <is>
          <t>Total Programs</t>
        </is>
      </c>
      <c r="B52" s="8">
        <f>SUM(B33:B51)</f>
        <v/>
      </c>
      <c r="C52" s="8">
        <f>SUM(C33:C51)</f>
        <v/>
      </c>
      <c r="D52" s="8">
        <f>SUM(D33:D51)</f>
        <v/>
      </c>
      <c r="E52" s="8">
        <f>SUM(E33:E51)</f>
        <v/>
      </c>
      <c r="F52" s="8">
        <f>SUM(F33:F51)</f>
        <v/>
      </c>
      <c r="G52" s="8">
        <f>SUM(G33:G51)</f>
        <v/>
      </c>
      <c r="H52" s="8">
        <f>SUM(H33:H51)</f>
        <v/>
      </c>
      <c r="I52" s="8">
        <f>SUM(I33:I51)</f>
        <v/>
      </c>
      <c r="J52" s="8">
        <f>SUM(J33:J51)</f>
        <v/>
      </c>
      <c r="K52" s="8">
        <f>SUM(K33:K51)</f>
        <v/>
      </c>
      <c r="L52" s="8">
        <f>SUM(L33:L51)</f>
        <v/>
      </c>
      <c r="M52" s="8">
        <f>SUM(M33:M51)</f>
        <v/>
      </c>
      <c r="N52" s="8">
        <f>SUM(N33:N51)</f>
        <v/>
      </c>
      <c r="O52" s="8">
        <f>SUM(O33:O51)</f>
        <v/>
      </c>
      <c r="P52" s="8">
        <f>SUM(P33:P51)</f>
        <v/>
      </c>
      <c r="Q52" s="8">
        <f>SUM(Q33:Q51)</f>
        <v/>
      </c>
    </row>
    <row r="54" ht="18" customHeight="1">
      <c r="A54" s="30" t="inlineStr">
        <is>
          <t>Donations</t>
        </is>
      </c>
    </row>
    <row r="55" ht="15" customHeight="1">
      <c r="A55" s="10" t="inlineStr">
        <is>
          <t>BOE Gifts</t>
        </is>
      </c>
      <c r="B55" s="11" t="n">
        <v>200</v>
      </c>
      <c r="C55" s="11" t="n">
        <v>180</v>
      </c>
      <c r="D55" s="3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>
        <f>SUM(D55:O55)</f>
        <v/>
      </c>
      <c r="Q55" s="11" t="n"/>
    </row>
    <row r="56" ht="15" customHeight="1">
      <c r="A56" s="13" t="inlineStr">
        <is>
          <t>Cultural Arts</t>
        </is>
      </c>
      <c r="B56" s="14" t="n">
        <v>14651.2</v>
      </c>
      <c r="C56" s="14" t="n">
        <v>15000</v>
      </c>
      <c r="D56" s="31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>
        <f>SUM(D56:O56)</f>
        <v/>
      </c>
      <c r="Q56" s="14" t="n"/>
    </row>
    <row r="57" ht="15" customHeight="1">
      <c r="A57" s="10" t="inlineStr">
        <is>
          <t>Folders</t>
        </is>
      </c>
      <c r="B57" s="11" t="n">
        <v>580</v>
      </c>
      <c r="C57" s="11" t="n">
        <v>600</v>
      </c>
      <c r="D57" s="3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>
        <f>SUM(D57:O57)</f>
        <v/>
      </c>
      <c r="Q57" s="11" t="n"/>
    </row>
    <row r="58" ht="15" customHeight="1">
      <c r="A58" s="13" t="inlineStr">
        <is>
          <t>Gardening</t>
        </is>
      </c>
      <c r="B58" s="14" t="n"/>
      <c r="C58" s="14" t="n">
        <v>500</v>
      </c>
      <c r="D58" s="31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>
        <f>SUM(D58:O58)</f>
        <v/>
      </c>
      <c r="Q58" s="14" t="n"/>
    </row>
    <row r="59" ht="15" customHeight="1">
      <c r="A59" s="10" t="inlineStr">
        <is>
          <t>Hospitality</t>
        </is>
      </c>
      <c r="B59" s="11" t="n">
        <v>124.7</v>
      </c>
      <c r="C59" s="11" t="n">
        <v>750</v>
      </c>
      <c r="D59" s="3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>
        <f>SUM(D59:O59)</f>
        <v/>
      </c>
      <c r="Q59" s="11" t="n"/>
    </row>
    <row r="60" ht="15" customHeight="1">
      <c r="A60" s="13" t="inlineStr">
        <is>
          <t>5th Staff T-Shirts</t>
        </is>
      </c>
      <c r="B60" s="14" t="n">
        <v>191.78</v>
      </c>
      <c r="C60" s="14" t="n">
        <v>125</v>
      </c>
      <c r="D60" s="31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>
        <f>SUM(D60:O60)</f>
        <v/>
      </c>
      <c r="Q60" s="14" t="n"/>
    </row>
    <row r="61" ht="15" customHeight="1">
      <c r="A61" s="10" t="inlineStr">
        <is>
          <t>Recess Equipment/Allied Fund</t>
        </is>
      </c>
      <c r="B61" s="11" t="n">
        <v>1000</v>
      </c>
      <c r="C61" s="11" t="n">
        <v>1000</v>
      </c>
      <c r="D61" s="3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>
        <f>SUM(D61:O61)</f>
        <v/>
      </c>
      <c r="Q61" s="11" t="n"/>
    </row>
    <row r="62" ht="15" customHeight="1">
      <c r="A62" s="13" t="inlineStr">
        <is>
          <t>School Spirit</t>
        </is>
      </c>
      <c r="B62" s="14" t="n">
        <v>280.76</v>
      </c>
      <c r="C62" s="14" t="n">
        <v>750</v>
      </c>
      <c r="D62" s="31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>
        <f>SUM(D62:O62)</f>
        <v/>
      </c>
      <c r="Q62" s="14" t="n"/>
    </row>
    <row r="63" ht="15" customHeight="1">
      <c r="A63" s="10" t="inlineStr">
        <is>
          <t>Sling Bags</t>
        </is>
      </c>
      <c r="B63" s="11" t="n">
        <v>2354.5</v>
      </c>
      <c r="C63" s="11" t="n">
        <v>1500</v>
      </c>
      <c r="D63" s="3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>
        <f>SUM(D63:O63)</f>
        <v/>
      </c>
      <c r="Q63" s="11" t="n"/>
    </row>
    <row r="64" ht="15" customHeight="1">
      <c r="A64" s="13" t="inlineStr">
        <is>
          <t>Spelling Bee</t>
        </is>
      </c>
      <c r="B64" s="14" t="n">
        <v>192.5</v>
      </c>
      <c r="C64" s="14" t="n">
        <v>225</v>
      </c>
      <c r="D64" s="31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>
        <f>SUM(D64:O64)</f>
        <v/>
      </c>
      <c r="Q64" s="14" t="n"/>
    </row>
    <row r="65" ht="15" customHeight="1">
      <c r="A65" s="10" t="inlineStr">
        <is>
          <t>Sunshine Fund</t>
        </is>
      </c>
      <c r="B65" s="11" t="n">
        <v>210</v>
      </c>
      <c r="C65" s="11" t="n">
        <v>500</v>
      </c>
      <c r="D65" s="3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>
        <f>SUM(D65:O65)</f>
        <v/>
      </c>
      <c r="Q65" s="11" t="n"/>
    </row>
    <row r="66" ht="15" customHeight="1">
      <c r="A66" s="13" t="inlineStr">
        <is>
          <t>Trick or Treat Street</t>
        </is>
      </c>
      <c r="B66" s="14" t="n"/>
      <c r="C66" s="14" t="n">
        <v>250</v>
      </c>
      <c r="D66" s="31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>
        <f>SUM(D66:O66)</f>
        <v/>
      </c>
      <c r="Q66" s="14" t="n"/>
    </row>
    <row r="67" ht="15" customHeight="1">
      <c r="A67" s="10" t="inlineStr">
        <is>
          <t>WM Scholarships</t>
        </is>
      </c>
      <c r="B67" s="11" t="n">
        <v>1000</v>
      </c>
      <c r="C67" s="11" t="n">
        <v>1000</v>
      </c>
      <c r="D67" s="3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>
        <f>SUM(D67:O67)</f>
        <v/>
      </c>
      <c r="Q67" s="11" t="n"/>
    </row>
    <row r="68" ht="18" customHeight="1">
      <c r="A68" s="7" t="inlineStr">
        <is>
          <t>Total Donations</t>
        </is>
      </c>
      <c r="B68" s="8">
        <f>SUM(B55:B67)</f>
        <v/>
      </c>
      <c r="C68" s="8">
        <f>SUM(C55:C67)</f>
        <v/>
      </c>
      <c r="D68" s="8">
        <f>SUM(D55:D67)</f>
        <v/>
      </c>
      <c r="E68" s="8">
        <f>SUM(E55:E67)</f>
        <v/>
      </c>
      <c r="F68" s="8">
        <f>SUM(F55:F67)</f>
        <v/>
      </c>
      <c r="G68" s="8">
        <f>SUM(G55:G67)</f>
        <v/>
      </c>
      <c r="H68" s="8">
        <f>SUM(H55:H67)</f>
        <v/>
      </c>
      <c r="I68" s="8">
        <f>SUM(I55:I67)</f>
        <v/>
      </c>
      <c r="J68" s="8">
        <f>SUM(J55:J67)</f>
        <v/>
      </c>
      <c r="K68" s="8">
        <f>SUM(K55:K67)</f>
        <v/>
      </c>
      <c r="L68" s="8">
        <f>SUM(L55:L67)</f>
        <v/>
      </c>
      <c r="M68" s="8">
        <f>SUM(M55:M67)</f>
        <v/>
      </c>
      <c r="N68" s="8">
        <f>SUM(N55:N67)</f>
        <v/>
      </c>
      <c r="O68" s="8">
        <f>SUM(O55:O67)</f>
        <v/>
      </c>
      <c r="P68" s="8">
        <f>SUM(P55:P67)</f>
        <v/>
      </c>
      <c r="Q68" s="8">
        <f>SUM(Q55:Q67)</f>
        <v/>
      </c>
    </row>
    <row r="70" ht="18" customHeight="1">
      <c r="A70" s="30" t="inlineStr">
        <is>
          <t>Grad Class Activities</t>
        </is>
      </c>
    </row>
    <row r="71" ht="15" customHeight="1">
      <c r="A71" s="10" t="inlineStr">
        <is>
          <t>Monster Bash</t>
        </is>
      </c>
      <c r="B71" s="11" t="n">
        <v>402.84</v>
      </c>
      <c r="C71" s="11" t="n">
        <v>1300</v>
      </c>
      <c r="D71" s="3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>
        <f>SUM(D71:O71)</f>
        <v/>
      </c>
      <c r="Q71" s="11" t="n"/>
    </row>
    <row r="72" ht="15" customHeight="1">
      <c r="A72" s="13" t="inlineStr">
        <is>
          <t>Monster Bash DJ</t>
        </is>
      </c>
      <c r="B72" s="14" t="n">
        <v>500</v>
      </c>
      <c r="C72" s="14" t="n">
        <v>500</v>
      </c>
      <c r="D72" s="31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>
        <f>SUM(D72:O72)</f>
        <v/>
      </c>
      <c r="Q72" s="14" t="n"/>
    </row>
    <row r="73" ht="15" customHeight="1">
      <c r="A73" s="10" t="inlineStr">
        <is>
          <t>Electric Parade</t>
        </is>
      </c>
      <c r="B73" s="11" t="n"/>
      <c r="C73" s="11" t="n">
        <v>900</v>
      </c>
      <c r="D73" s="3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>
        <f>SUM(D73:O73)</f>
        <v/>
      </c>
      <c r="Q73" s="11" t="n"/>
    </row>
    <row r="74" ht="15" customHeight="1">
      <c r="A74" s="13" t="inlineStr">
        <is>
          <t>Winter Social</t>
        </is>
      </c>
      <c r="B74" s="14" t="n">
        <v>1167.86</v>
      </c>
      <c r="C74" s="14" t="n">
        <v>1300</v>
      </c>
      <c r="D74" s="31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>
        <f>SUM(D74:O74)</f>
        <v/>
      </c>
      <c r="Q74" s="14" t="n"/>
    </row>
    <row r="75" ht="15" customHeight="1">
      <c r="A75" s="10" t="inlineStr">
        <is>
          <t>Winter Social DJ</t>
        </is>
      </c>
      <c r="B75" s="11" t="n">
        <v>500</v>
      </c>
      <c r="C75" s="11" t="n">
        <v>500</v>
      </c>
      <c r="D75" s="3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>
        <f>SUM(D75:O75)</f>
        <v/>
      </c>
      <c r="Q75" s="11" t="n"/>
    </row>
    <row r="76" ht="15" customHeight="1">
      <c r="A76" s="13" t="inlineStr">
        <is>
          <t>Moving Up</t>
        </is>
      </c>
      <c r="B76" s="14" t="n">
        <v>715</v>
      </c>
      <c r="C76" s="14" t="n">
        <v>400</v>
      </c>
      <c r="D76" s="31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>
        <f>SUM(D76:O76)</f>
        <v/>
      </c>
      <c r="Q76" s="14" t="n"/>
    </row>
    <row r="77" ht="15" customHeight="1">
      <c r="A77" s="10" t="inlineStr">
        <is>
          <t>Picnic</t>
        </is>
      </c>
      <c r="B77" s="11" t="n">
        <v>2441.98</v>
      </c>
      <c r="C77" s="11" t="n">
        <v>900</v>
      </c>
      <c r="D77" s="34" t="n">
        <v>181.58</v>
      </c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>
        <f>SUM(D77:O77)</f>
        <v/>
      </c>
      <c r="Q77" s="11" t="n">
        <v>-181.58</v>
      </c>
    </row>
    <row r="78" ht="15" customHeight="1">
      <c r="A78" s="13" t="inlineStr">
        <is>
          <t>Graduating Class Gifts</t>
        </is>
      </c>
      <c r="B78" s="14" t="n">
        <v>1034.41</v>
      </c>
      <c r="C78" s="14" t="n">
        <v>500</v>
      </c>
      <c r="D78" s="31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>
        <f>SUM(D78:O78)</f>
        <v/>
      </c>
      <c r="Q78" s="14" t="n"/>
    </row>
    <row r="79" ht="15" customHeight="1">
      <c r="A79" s="10" t="inlineStr">
        <is>
          <t>Graduating Mural</t>
        </is>
      </c>
      <c r="B79" s="11" t="n">
        <v>244.48</v>
      </c>
      <c r="C79" s="11" t="n">
        <v>350</v>
      </c>
      <c r="D79" s="3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>
        <f>SUM(D79:O79)</f>
        <v/>
      </c>
      <c r="Q79" s="11" t="n"/>
    </row>
    <row r="80" ht="15" customHeight="1">
      <c r="A80" s="13" t="inlineStr">
        <is>
          <t>5th Grade T-Shirts</t>
        </is>
      </c>
      <c r="B80" s="14" t="n">
        <v>1494.25</v>
      </c>
      <c r="C80" s="14" t="n">
        <v>800</v>
      </c>
      <c r="D80" s="31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>
        <f>SUM(D80:O80)</f>
        <v/>
      </c>
      <c r="Q80" s="14" t="n"/>
    </row>
    <row r="81" ht="15" customHeight="1">
      <c r="A81" s="10" t="inlineStr">
        <is>
          <t>Trunk or Treat Fundraiser</t>
        </is>
      </c>
      <c r="B81" s="11" t="n">
        <v>258.67</v>
      </c>
      <c r="C81" s="11" t="n">
        <v>500</v>
      </c>
      <c r="D81" s="3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>
        <f>SUM(D81:O81)</f>
        <v/>
      </c>
      <c r="Q81" s="11" t="n"/>
    </row>
    <row r="82" ht="15" customHeight="1">
      <c r="A82" s="13" t="inlineStr">
        <is>
          <t>The Night at Rinx</t>
        </is>
      </c>
      <c r="B82" s="14" t="n">
        <v>710</v>
      </c>
      <c r="C82" s="14" t="n">
        <v>650</v>
      </c>
      <c r="D82" s="31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>
        <f>SUM(D82:O82)</f>
        <v/>
      </c>
      <c r="Q82" s="14" t="n"/>
    </row>
    <row r="83" ht="15" customHeight="1">
      <c r="A83" s="10" t="inlineStr">
        <is>
          <t>Family Contributions</t>
        </is>
      </c>
      <c r="B83" s="11" t="n"/>
      <c r="C83" s="11" t="n"/>
      <c r="D83" s="3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>
        <f>SUM(D83:O83)</f>
        <v/>
      </c>
      <c r="Q83" s="11" t="n"/>
    </row>
    <row r="84" ht="15" customHeight="1">
      <c r="A84" s="13" t="inlineStr">
        <is>
          <t>Lawn Signs</t>
        </is>
      </c>
      <c r="B84" s="14" t="n"/>
      <c r="C84" s="14" t="n"/>
      <c r="D84" s="31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>
        <f>SUM(D84:O84)</f>
        <v/>
      </c>
      <c r="Q84" s="14" t="n"/>
    </row>
    <row r="85" ht="15" customHeight="1">
      <c r="A85" s="10" t="inlineStr">
        <is>
          <t>Treat or Trunk</t>
        </is>
      </c>
      <c r="B85" s="11" t="n"/>
      <c r="C85" s="11" t="n"/>
      <c r="D85" s="3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>
        <f>SUM(D85:O85)</f>
        <v/>
      </c>
      <c r="Q85" s="11" t="n"/>
    </row>
    <row r="86" ht="18" customHeight="1">
      <c r="A86" s="7" t="inlineStr">
        <is>
          <t>Total Grad Class Activities</t>
        </is>
      </c>
      <c r="B86" s="8">
        <f>SUM(B71:B85)</f>
        <v/>
      </c>
      <c r="C86" s="8">
        <f>SUM(C71:C85)</f>
        <v/>
      </c>
      <c r="D86" s="8">
        <f>SUM(D71:D85)</f>
        <v/>
      </c>
      <c r="E86" s="8">
        <f>SUM(E71:E85)</f>
        <v/>
      </c>
      <c r="F86" s="8">
        <f>SUM(F71:F85)</f>
        <v/>
      </c>
      <c r="G86" s="8">
        <f>SUM(G71:G85)</f>
        <v/>
      </c>
      <c r="H86" s="8">
        <f>SUM(H71:H85)</f>
        <v/>
      </c>
      <c r="I86" s="8">
        <f>SUM(I71:I85)</f>
        <v/>
      </c>
      <c r="J86" s="8">
        <f>SUM(J71:J85)</f>
        <v/>
      </c>
      <c r="K86" s="8">
        <f>SUM(K71:K85)</f>
        <v/>
      </c>
      <c r="L86" s="8">
        <f>SUM(L71:L85)</f>
        <v/>
      </c>
      <c r="M86" s="8">
        <f>SUM(M71:M85)</f>
        <v/>
      </c>
      <c r="N86" s="8">
        <f>SUM(N71:N85)</f>
        <v/>
      </c>
      <c r="O86" s="8">
        <f>SUM(O71:O85)</f>
        <v/>
      </c>
      <c r="P86" s="8">
        <f>SUM(P71:P85)</f>
        <v/>
      </c>
      <c r="Q86" s="8">
        <f>SUM(Q71:Q85)</f>
        <v/>
      </c>
    </row>
    <row r="88" ht="20" customHeight="1">
      <c r="A88" s="32" t="inlineStr">
        <is>
          <t>GRAND TOTAL</t>
        </is>
      </c>
      <c r="B88" s="33">
        <f>SUMIF(A4:A87,"Total*",B4:B87)</f>
        <v/>
      </c>
      <c r="C88" s="33">
        <f>SUMIF(A4:A87,"Total*",C4:C87)</f>
        <v/>
      </c>
      <c r="D88" s="33">
        <f>SUMIF(A4:A87,"Total*",D4:D87)</f>
        <v/>
      </c>
      <c r="E88" s="33">
        <f>SUMIF(A4:A87,"Total*",E4:E87)</f>
        <v/>
      </c>
      <c r="F88" s="33">
        <f>SUMIF(A4:A87,"Total*",F4:F87)</f>
        <v/>
      </c>
      <c r="G88" s="33">
        <f>SUMIF(A4:A87,"Total*",G4:G87)</f>
        <v/>
      </c>
      <c r="H88" s="33">
        <f>SUMIF(A4:A87,"Total*",H4:H87)</f>
        <v/>
      </c>
      <c r="I88" s="33">
        <f>SUMIF(A4:A87,"Total*",I4:I87)</f>
        <v/>
      </c>
      <c r="J88" s="33">
        <f>SUMIF(A4:A87,"Total*",J4:J87)</f>
        <v/>
      </c>
      <c r="K88" s="33">
        <f>SUMIF(A4:A87,"Total*",K4:K87)</f>
        <v/>
      </c>
      <c r="L88" s="33">
        <f>SUMIF(A4:A87,"Total*",L4:L87)</f>
        <v/>
      </c>
      <c r="M88" s="33">
        <f>SUMIF(A4:A87,"Total*",M4:M87)</f>
        <v/>
      </c>
      <c r="N88" s="33">
        <f>SUMIF(A4:A87,"Total*",N4:N87)</f>
        <v/>
      </c>
      <c r="O88" s="33">
        <f>SUMIF(A4:A87,"Total*",O4:O87)</f>
        <v/>
      </c>
      <c r="P88" s="33">
        <f>SUMIF(A4:A87,"Total*",P4:P87)</f>
        <v/>
      </c>
      <c r="Q88" s="33">
        <f>SUMIF(A4:A87,"Total*",Q4:Q87)</f>
        <v/>
      </c>
    </row>
  </sheetData>
  <mergeCells count="7">
    <mergeCell ref="A1:Q1"/>
    <mergeCell ref="A2:Q2"/>
    <mergeCell ref="A4:Q4"/>
    <mergeCell ref="A17:Q17"/>
    <mergeCell ref="A32:Q32"/>
    <mergeCell ref="A54:Q54"/>
    <mergeCell ref="A70:Q7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16" customWidth="1" min="4" max="4"/>
    <col width="11" customWidth="1" min="5" max="5"/>
    <col width="25" customWidth="1" min="6" max="6"/>
  </cols>
  <sheetData>
    <row r="1" ht="26" customHeight="1">
      <c r="A1" s="25" t="inlineStr">
        <is>
          <t>SETAUKET SCHOOL PTA  -  Giveback Reconciliation</t>
        </is>
      </c>
    </row>
    <row r="2">
      <c r="A2" s="26" t="inlineStr">
        <is>
          <t>Generated: July 22, 2026</t>
        </is>
      </c>
    </row>
    <row r="4" ht="18" customHeight="1">
      <c r="A4" s="35" t="inlineStr">
        <is>
          <t>Item</t>
        </is>
      </c>
      <c r="B4" s="36" t="inlineStr">
        <is>
          <t>Category</t>
        </is>
      </c>
      <c r="C4" s="36" t="inlineStr">
        <is>
          <t>Transactions</t>
        </is>
      </c>
      <c r="D4" s="36" t="inlineStr">
        <is>
          <t>Amount</t>
        </is>
      </c>
      <c r="E4" s="36" t="inlineStr">
        <is>
          <t>% of Total</t>
        </is>
      </c>
      <c r="F4" s="36" t="inlineStr">
        <is>
          <t>Source File</t>
        </is>
      </c>
    </row>
    <row r="5" ht="15" customHeight="1">
      <c r="A5" s="37" t="inlineStr">
        <is>
          <t>Shop to Give Donation</t>
        </is>
      </c>
      <c r="B5" s="38" t="inlineStr"/>
      <c r="C5" s="38" t="n">
        <v>1</v>
      </c>
      <c r="D5" s="11" t="n">
        <v>95.14</v>
      </c>
      <c r="E5" s="39">
        <f>D5/D7</f>
        <v/>
      </c>
      <c r="F5" s="37" t="inlineStr">
        <is>
          <t>givebacks_july_po_DEMO0000000000000000.csv</t>
        </is>
      </c>
    </row>
    <row r="6" ht="15" customHeight="1">
      <c r="A6" s="40" t="inlineStr">
        <is>
          <t>Teacher/Staff</t>
        </is>
      </c>
      <c r="B6" s="41" t="inlineStr">
        <is>
          <t>Memberships</t>
        </is>
      </c>
      <c r="C6" s="41" t="n">
        <v>1</v>
      </c>
      <c r="D6" s="14" t="n">
        <v>15</v>
      </c>
      <c r="E6" s="42">
        <f>D6/D7</f>
        <v/>
      </c>
      <c r="F6" s="40" t="inlineStr">
        <is>
          <t>givebacks_july_po_DEMO0000000000000000.csv</t>
        </is>
      </c>
    </row>
    <row r="7" ht="18" customHeight="1">
      <c r="A7" s="7" t="inlineStr">
        <is>
          <t>TOTAL</t>
        </is>
      </c>
      <c r="B7" s="9" t="n"/>
      <c r="C7" s="43">
        <f>SUM(C5:C6)</f>
        <v/>
      </c>
      <c r="D7" s="8">
        <f>SUM(D5:D6)</f>
        <v/>
      </c>
      <c r="E7" s="43" t="inlineStr">
        <is>
          <t>100.0%</t>
        </is>
      </c>
      <c r="F7" s="9" t="n"/>
    </row>
    <row r="9" ht="20" customHeight="1">
      <c r="A9" s="4" t="inlineStr">
        <is>
          <t>GIVEBACK &lt;-&gt; BANK RECONCILIATION</t>
        </is>
      </c>
    </row>
    <row r="10" ht="16" customHeight="1">
      <c r="A10" s="20" t="inlineStr">
        <is>
          <t>Givebacks Platform Total</t>
        </is>
      </c>
      <c r="B10" s="12" t="n"/>
      <c r="C10" s="12" t="n"/>
      <c r="D10" s="21" t="n">
        <v>110.14</v>
      </c>
      <c r="E10" s="12" t="n"/>
      <c r="F10" s="12" t="n"/>
    </row>
    <row r="11" ht="16" customHeight="1">
      <c r="A11" s="20" t="inlineStr">
        <is>
          <t>Givebacks Deposit in Bank Statement</t>
        </is>
      </c>
      <c r="B11" s="12" t="n"/>
      <c r="C11" s="12" t="n"/>
      <c r="D11" s="21" t="n">
        <v>0</v>
      </c>
      <c r="E11" s="12" t="n"/>
      <c r="F11" s="12" t="n"/>
    </row>
    <row r="12" ht="16" customHeight="1">
      <c r="A12" s="44" t="inlineStr">
        <is>
          <t>Difference</t>
        </is>
      </c>
      <c r="B12" s="45" t="n"/>
      <c r="C12" s="45" t="n"/>
      <c r="D12" s="46" t="n">
        <v>110.14</v>
      </c>
      <c r="E12" s="45" t="n"/>
      <c r="F12" s="45" t="n"/>
    </row>
  </sheetData>
  <mergeCells count="3">
    <mergeCell ref="A1:F1"/>
    <mergeCell ref="A2:F2"/>
    <mergeCell ref="A9:F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22" customWidth="1" min="3" max="3"/>
    <col width="14" customWidth="1" min="4" max="4"/>
  </cols>
  <sheetData>
    <row r="1" ht="26" customHeight="1">
      <c r="A1" s="25" t="inlineStr">
        <is>
          <t>SETAUKET SCHOOL PTA  -  File Manifest</t>
        </is>
      </c>
    </row>
    <row r="2">
      <c r="A2" s="26" t="inlineStr">
        <is>
          <t>Report: July 1999  |  Column: JULY  |  Generated: July 22, 2026 at 09:53 AM</t>
        </is>
      </c>
    </row>
    <row r="4" ht="18" customHeight="1">
      <c r="A4" s="36" t="inlineStr">
        <is>
          <t>Type</t>
        </is>
      </c>
      <c r="B4" s="35" t="inlineStr">
        <is>
          <t>Filename</t>
        </is>
      </c>
      <c r="C4" s="36" t="inlineStr">
        <is>
          <t>Last Modified</t>
        </is>
      </c>
      <c r="D4" s="36" t="inlineStr">
        <is>
          <t>Size</t>
        </is>
      </c>
    </row>
    <row r="5" ht="16" customHeight="1">
      <c r="A5" s="38" t="inlineStr">
        <is>
          <t>QuickBooks</t>
        </is>
      </c>
      <c r="B5" s="37" t="inlineStr">
        <is>
          <t>quickbooks_july_1999.csv</t>
        </is>
      </c>
      <c r="C5" s="38" t="inlineStr">
        <is>
          <t>2026-07-22 09:53</t>
        </is>
      </c>
      <c r="D5" s="47" t="inlineStr">
        <is>
          <t>1.7 KB</t>
        </is>
      </c>
    </row>
    <row r="6" ht="16" customHeight="1">
      <c r="A6" s="41" t="inlineStr">
        <is>
          <t>Bank Statement</t>
        </is>
      </c>
      <c r="B6" s="40" t="inlineStr">
        <is>
          <t>Chase_july_1999.pdf</t>
        </is>
      </c>
      <c r="C6" s="41" t="inlineStr">
        <is>
          <t>2026-07-22 09:53</t>
        </is>
      </c>
      <c r="D6" s="48" t="inlineStr">
        <is>
          <t>1.5 KB</t>
        </is>
      </c>
    </row>
    <row r="7" ht="16" customHeight="1">
      <c r="A7" s="38" t="inlineStr">
        <is>
          <t>Givebacks</t>
        </is>
      </c>
      <c r="B7" s="37" t="inlineStr">
        <is>
          <t>givebacks_july_po_DEMO0000000000000000.csv</t>
        </is>
      </c>
      <c r="C7" s="38" t="inlineStr">
        <is>
          <t>2026-07-22 09:53</t>
        </is>
      </c>
      <c r="D7" s="47" t="inlineStr">
        <is>
          <t>0.1 KB</t>
        </is>
      </c>
    </row>
    <row r="8">
      <c r="A8" s="49" t="inlineStr">
        <is>
          <t>Total files processed: 3</t>
        </is>
      </c>
    </row>
  </sheetData>
  <mergeCells count="3">
    <mergeCell ref="A1:D1"/>
    <mergeCell ref="A2:D2"/>
    <mergeCell ref="A8:D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50" t="inlineStr">
        <is>
          <t>Setauket School PTA  —  Treasurer's Report</t>
        </is>
      </c>
    </row>
    <row r="2" ht="16" customHeight="1">
      <c r="A2" s="51" t="inlineStr">
        <is>
          <t>7/1/25 - 7/22/2026</t>
        </is>
      </c>
    </row>
    <row r="3" ht="18" customHeight="1">
      <c r="A3" s="52" t="inlineStr">
        <is>
          <t>Balance Forward:</t>
        </is>
      </c>
      <c r="B3" s="53" t="n">
        <v>32630.1</v>
      </c>
      <c r="C3" s="54" t="inlineStr">
        <is>
          <t>as of 6/30/25</t>
        </is>
      </c>
      <c r="E3" s="52" t="inlineStr">
        <is>
          <t>Current Balance:</t>
        </is>
      </c>
      <c r="F3" s="53" t="n">
        <v>31190.76</v>
      </c>
      <c r="G3" s="54" t="inlineStr">
        <is>
          <t>as of July 31, 1999</t>
        </is>
      </c>
    </row>
    <row r="4" ht="18" customHeight="1">
      <c r="A4" s="52" t="inlineStr">
        <is>
          <t>Total Income: $0.00</t>
        </is>
      </c>
      <c r="E4" s="52" t="inlineStr">
        <is>
          <t>Total Expenses: $1,439.34</t>
        </is>
      </c>
    </row>
    <row r="6" ht="28" customHeight="1">
      <c r="A6" s="55" t="inlineStr">
        <is>
          <t>Category</t>
        </is>
      </c>
      <c r="B6" s="56" t="inlineStr">
        <is>
          <t>Last Year's Income</t>
        </is>
      </c>
      <c r="C6" s="56" t="inlineStr">
        <is>
          <t>Last Year's Expenses</t>
        </is>
      </c>
      <c r="D6" s="56" t="inlineStr">
        <is>
          <t>Expected Income</t>
        </is>
      </c>
      <c r="E6" s="56" t="inlineStr">
        <is>
          <t>Expected Expenses</t>
        </is>
      </c>
      <c r="F6" s="56" t="inlineStr">
        <is>
          <t>Actual Income</t>
        </is>
      </c>
      <c r="G6" s="56" t="inlineStr">
        <is>
          <t>Actual Expenses</t>
        </is>
      </c>
      <c r="H6" s="56" t="inlineStr">
        <is>
          <t>Net Profit</t>
        </is>
      </c>
      <c r="I6" s="56" t="inlineStr">
        <is>
          <t>Last Year's Profit</t>
        </is>
      </c>
    </row>
    <row r="7" ht="20" customHeight="1">
      <c r="A7" s="4" t="inlineStr">
        <is>
          <t>Admin/General/Membership</t>
        </is>
      </c>
    </row>
    <row r="8" ht="15" customHeight="1">
      <c r="A8" s="10" t="inlineStr">
        <is>
          <t>Accountant</t>
        </is>
      </c>
      <c r="B8" s="11" t="inlineStr">
        <is>
          <t>--</t>
        </is>
      </c>
      <c r="C8" s="11" t="n">
        <v>650</v>
      </c>
      <c r="D8" s="11" t="inlineStr">
        <is>
          <t>--</t>
        </is>
      </c>
      <c r="E8" s="11" t="n">
        <v>650</v>
      </c>
      <c r="F8" s="11" t="inlineStr">
        <is>
          <t>--</t>
        </is>
      </c>
      <c r="G8" s="11" t="inlineStr">
        <is>
          <t>--</t>
        </is>
      </c>
      <c r="H8" s="11" t="inlineStr">
        <is>
          <t>--</t>
        </is>
      </c>
      <c r="I8" s="11" t="n">
        <v>-650</v>
      </c>
    </row>
    <row r="9" ht="15" customHeight="1">
      <c r="A9" s="13" t="inlineStr">
        <is>
          <t>Bank Services</t>
        </is>
      </c>
      <c r="B9" s="14" t="inlineStr">
        <is>
          <t>--</t>
        </is>
      </c>
      <c r="C9" s="14" t="n">
        <v>234.94</v>
      </c>
      <c r="D9" s="14" t="inlineStr">
        <is>
          <t>--</t>
        </is>
      </c>
      <c r="E9" s="14" t="n">
        <v>200</v>
      </c>
      <c r="F9" s="14" t="inlineStr">
        <is>
          <t>--</t>
        </is>
      </c>
      <c r="G9" s="14" t="inlineStr">
        <is>
          <t>--</t>
        </is>
      </c>
      <c r="H9" s="14" t="inlineStr">
        <is>
          <t>--</t>
        </is>
      </c>
      <c r="I9" s="14" t="n">
        <v>-234.94</v>
      </c>
    </row>
    <row r="10" ht="15" customHeight="1">
      <c r="A10" s="10" t="inlineStr">
        <is>
          <t>Insurance</t>
        </is>
      </c>
      <c r="B10" s="11" t="inlineStr">
        <is>
          <t>--</t>
        </is>
      </c>
      <c r="C10" s="11" t="n">
        <v>350</v>
      </c>
      <c r="D10" s="11" t="inlineStr">
        <is>
          <t>--</t>
        </is>
      </c>
      <c r="E10" s="11" t="n">
        <v>350</v>
      </c>
      <c r="F10" s="11" t="inlineStr">
        <is>
          <t>--</t>
        </is>
      </c>
      <c r="G10" s="11" t="inlineStr">
        <is>
          <t>--</t>
        </is>
      </c>
      <c r="H10" s="11" t="inlineStr">
        <is>
          <t>--</t>
        </is>
      </c>
      <c r="I10" s="11" t="n">
        <v>-350</v>
      </c>
    </row>
    <row r="11" ht="15" customHeight="1">
      <c r="A11" s="13" t="inlineStr">
        <is>
          <t>Supplies</t>
        </is>
      </c>
      <c r="B11" s="14" t="inlineStr">
        <is>
          <t>--</t>
        </is>
      </c>
      <c r="C11" s="14" t="n">
        <v>450.22</v>
      </c>
      <c r="D11" s="14" t="inlineStr">
        <is>
          <t>--</t>
        </is>
      </c>
      <c r="E11" s="14" t="n">
        <v>500</v>
      </c>
      <c r="F11" s="14" t="inlineStr">
        <is>
          <t>--</t>
        </is>
      </c>
      <c r="G11" s="14" t="inlineStr">
        <is>
          <t>--</t>
        </is>
      </c>
      <c r="H11" s="14" t="inlineStr">
        <is>
          <t>--</t>
        </is>
      </c>
      <c r="I11" s="14" t="n">
        <v>-450.22</v>
      </c>
    </row>
    <row r="12" ht="15" customHeight="1">
      <c r="A12" s="10" t="inlineStr">
        <is>
          <t>Accounting Quickbooks</t>
        </is>
      </c>
      <c r="B12" s="11" t="inlineStr">
        <is>
          <t>--</t>
        </is>
      </c>
      <c r="C12" s="11" t="n">
        <v>410.66</v>
      </c>
      <c r="D12" s="11" t="inlineStr">
        <is>
          <t>--</t>
        </is>
      </c>
      <c r="E12" s="11" t="n">
        <v>1300</v>
      </c>
      <c r="F12" s="11" t="inlineStr">
        <is>
          <t>--</t>
        </is>
      </c>
      <c r="G12" s="11" t="n">
        <v>1257.76</v>
      </c>
      <c r="H12" s="57" t="n">
        <v>-1257.76</v>
      </c>
      <c r="I12" s="11" t="n">
        <v>-410.66</v>
      </c>
    </row>
    <row r="13" ht="15" customHeight="1">
      <c r="A13" s="13" t="inlineStr">
        <is>
          <t>Training</t>
        </is>
      </c>
      <c r="B13" s="14" t="inlineStr">
        <is>
          <t>--</t>
        </is>
      </c>
      <c r="C13" s="14" t="n">
        <v>68.90000000000001</v>
      </c>
      <c r="D13" s="14" t="inlineStr">
        <is>
          <t>--</t>
        </is>
      </c>
      <c r="E13" s="14" t="n">
        <v>100</v>
      </c>
      <c r="F13" s="14" t="inlineStr">
        <is>
          <t>--</t>
        </is>
      </c>
      <c r="G13" s="14" t="inlineStr">
        <is>
          <t>--</t>
        </is>
      </c>
      <c r="H13" s="14" t="inlineStr">
        <is>
          <t>--</t>
        </is>
      </c>
      <c r="I13" s="14" t="n">
        <v>-68.90000000000001</v>
      </c>
    </row>
    <row r="14" ht="15" customHeight="1">
      <c r="A14" s="10" t="inlineStr">
        <is>
          <t>Website &amp; Remind App</t>
        </is>
      </c>
      <c r="B14" s="11" t="inlineStr">
        <is>
          <t>--</t>
        </is>
      </c>
      <c r="C14" s="11" t="n">
        <v>344.01</v>
      </c>
      <c r="D14" s="11" t="inlineStr">
        <is>
          <t>--</t>
        </is>
      </c>
      <c r="E14" s="11" t="n">
        <v>1000</v>
      </c>
      <c r="F14" s="11" t="inlineStr">
        <is>
          <t>--</t>
        </is>
      </c>
      <c r="G14" s="11" t="inlineStr">
        <is>
          <t>--</t>
        </is>
      </c>
      <c r="H14" s="11" t="inlineStr">
        <is>
          <t>--</t>
        </is>
      </c>
      <c r="I14" s="11" t="n">
        <v>-344.01</v>
      </c>
    </row>
    <row r="15" ht="15" customHeight="1">
      <c r="A15" s="13" t="inlineStr">
        <is>
          <t>Event Equipment</t>
        </is>
      </c>
      <c r="B15" s="14" t="inlineStr">
        <is>
          <t>--</t>
        </is>
      </c>
      <c r="C15" s="14" t="n">
        <v>563.3200000000001</v>
      </c>
      <c r="D15" s="14" t="inlineStr">
        <is>
          <t>--</t>
        </is>
      </c>
      <c r="E15" s="14" t="n">
        <v>1000</v>
      </c>
      <c r="F15" s="14" t="inlineStr">
        <is>
          <t>--</t>
        </is>
      </c>
      <c r="G15" s="14" t="inlineStr">
        <is>
          <t>--</t>
        </is>
      </c>
      <c r="H15" s="14" t="inlineStr">
        <is>
          <t>--</t>
        </is>
      </c>
      <c r="I15" s="14" t="n">
        <v>-563.3200000000001</v>
      </c>
    </row>
    <row r="16" ht="15" customHeight="1">
      <c r="A16" s="13" t="inlineStr">
        <is>
          <t>Membership Expenses/Income</t>
        </is>
      </c>
      <c r="B16" s="14" t="n">
        <v>4545.63</v>
      </c>
      <c r="C16" s="14" t="n">
        <v>1159</v>
      </c>
      <c r="D16" s="14" t="n">
        <v>3270</v>
      </c>
      <c r="E16" s="14" t="n">
        <v>1650</v>
      </c>
      <c r="F16" s="14" t="inlineStr">
        <is>
          <t>--</t>
        </is>
      </c>
      <c r="G16" s="14" t="inlineStr">
        <is>
          <t>--</t>
        </is>
      </c>
      <c r="H16" s="14" t="inlineStr">
        <is>
          <t>--</t>
        </is>
      </c>
      <c r="I16" s="14" t="n">
        <v>3386.63</v>
      </c>
    </row>
    <row r="17" ht="18" customHeight="1">
      <c r="A17" s="7" t="inlineStr">
        <is>
          <t>TOTAL:</t>
        </is>
      </c>
      <c r="B17" s="8" t="n">
        <v>4545.63</v>
      </c>
      <c r="C17" s="8" t="n">
        <v>4231.050000000001</v>
      </c>
      <c r="D17" s="8" t="n">
        <v>3270</v>
      </c>
      <c r="E17" s="8" t="n">
        <v>6750</v>
      </c>
      <c r="F17" s="8" t="inlineStr">
        <is>
          <t>--</t>
        </is>
      </c>
      <c r="G17" s="8" t="n">
        <v>1257.76</v>
      </c>
      <c r="H17" s="8" t="n">
        <v>-1257.76</v>
      </c>
      <c r="I17" s="8" t="n">
        <v>314.579999999999</v>
      </c>
    </row>
    <row r="19" ht="20" customHeight="1">
      <c r="A19" s="4" t="inlineStr">
        <is>
          <t>Fundraising</t>
        </is>
      </c>
    </row>
    <row r="20" ht="15" customHeight="1">
      <c r="A20" s="10" t="inlineStr">
        <is>
          <t>Basket Dinner</t>
        </is>
      </c>
      <c r="B20" s="11" t="n">
        <v>29615</v>
      </c>
      <c r="C20" s="11" t="n">
        <v>11502.32</v>
      </c>
      <c r="D20" s="11" t="n">
        <v>19000</v>
      </c>
      <c r="E20" s="11" t="n">
        <v>13000</v>
      </c>
      <c r="F20" s="11" t="inlineStr">
        <is>
          <t>--</t>
        </is>
      </c>
      <c r="G20" s="11" t="inlineStr">
        <is>
          <t>--</t>
        </is>
      </c>
      <c r="H20" s="11" t="inlineStr">
        <is>
          <t>--</t>
        </is>
      </c>
      <c r="I20" s="11" t="n">
        <v>18112.68</v>
      </c>
    </row>
    <row r="21" ht="15" customHeight="1">
      <c r="A21" s="13" t="inlineStr">
        <is>
          <t>Birthday Books</t>
        </is>
      </c>
      <c r="B21" s="14" t="n">
        <v>2310</v>
      </c>
      <c r="C21" s="14" t="n">
        <v>503.39</v>
      </c>
      <c r="D21" s="14" t="n">
        <v>2000</v>
      </c>
      <c r="E21" s="14" t="n">
        <v>500</v>
      </c>
      <c r="F21" s="14" t="inlineStr">
        <is>
          <t>--</t>
        </is>
      </c>
      <c r="G21" s="14" t="inlineStr">
        <is>
          <t>--</t>
        </is>
      </c>
      <c r="H21" s="14" t="inlineStr">
        <is>
          <t>--</t>
        </is>
      </c>
      <c r="I21" s="14" t="n">
        <v>1806.61</v>
      </c>
    </row>
    <row r="22" ht="15" customHeight="1">
      <c r="A22" s="10" t="inlineStr">
        <is>
          <t>Book Fair</t>
        </is>
      </c>
      <c r="B22" s="11" t="n">
        <v>9118.360000000001</v>
      </c>
      <c r="C22" s="11" t="n">
        <v>9523.91</v>
      </c>
      <c r="D22" s="11" t="n">
        <v>500</v>
      </c>
      <c r="E22" s="11" t="n">
        <v>10000</v>
      </c>
      <c r="F22" s="11" t="inlineStr">
        <is>
          <t>--</t>
        </is>
      </c>
      <c r="G22" s="11" t="inlineStr">
        <is>
          <t>--</t>
        </is>
      </c>
      <c r="H22" s="11" t="inlineStr">
        <is>
          <t>--</t>
        </is>
      </c>
      <c r="I22" s="11" t="n">
        <v>-405.5499999999993</v>
      </c>
    </row>
    <row r="23" ht="15" customHeight="1">
      <c r="A23" s="13" t="inlineStr">
        <is>
          <t>Croc Charms</t>
        </is>
      </c>
      <c r="B23" s="14" t="n">
        <v>405</v>
      </c>
      <c r="C23" s="14" t="n">
        <v>205</v>
      </c>
      <c r="D23" s="14" t="n">
        <v>100</v>
      </c>
      <c r="E23" s="14" t="inlineStr">
        <is>
          <t>--</t>
        </is>
      </c>
      <c r="F23" s="14" t="inlineStr">
        <is>
          <t>--</t>
        </is>
      </c>
      <c r="G23" s="14" t="inlineStr">
        <is>
          <t>--</t>
        </is>
      </c>
      <c r="H23" s="14" t="inlineStr">
        <is>
          <t>--</t>
        </is>
      </c>
      <c r="I23" s="14" t="n">
        <v>200</v>
      </c>
    </row>
    <row r="24" ht="15" customHeight="1">
      <c r="A24" s="10" t="inlineStr">
        <is>
          <t>Fall Pictures</t>
        </is>
      </c>
      <c r="B24" s="11" t="n">
        <v>3350.25</v>
      </c>
      <c r="C24" s="11" t="inlineStr">
        <is>
          <t>--</t>
        </is>
      </c>
      <c r="D24" s="11" t="n">
        <v>3000</v>
      </c>
      <c r="E24" s="11" t="inlineStr">
        <is>
          <t>--</t>
        </is>
      </c>
      <c r="F24" s="11" t="inlineStr">
        <is>
          <t>--</t>
        </is>
      </c>
      <c r="G24" s="11" t="inlineStr">
        <is>
          <t>--</t>
        </is>
      </c>
      <c r="H24" s="11" t="inlineStr">
        <is>
          <t>--</t>
        </is>
      </c>
      <c r="I24" s="11" t="n">
        <v>3350.25</v>
      </c>
    </row>
    <row r="25" ht="15" customHeight="1">
      <c r="A25" s="13" t="inlineStr">
        <is>
          <t>FAST</t>
        </is>
      </c>
      <c r="B25" s="14" t="n">
        <v>26370</v>
      </c>
      <c r="C25" s="14" t="n">
        <v>24000</v>
      </c>
      <c r="D25" s="14" t="n">
        <v>1000</v>
      </c>
      <c r="E25" s="14" t="n">
        <v>17000</v>
      </c>
      <c r="F25" s="14" t="inlineStr">
        <is>
          <t>--</t>
        </is>
      </c>
      <c r="G25" s="14" t="inlineStr">
        <is>
          <t>--</t>
        </is>
      </c>
      <c r="H25" s="14" t="inlineStr">
        <is>
          <t>--</t>
        </is>
      </c>
      <c r="I25" s="14" t="n">
        <v>2370</v>
      </c>
    </row>
    <row r="26" ht="15" customHeight="1">
      <c r="A26" s="10" t="inlineStr">
        <is>
          <t>Holiday Boutique</t>
        </is>
      </c>
      <c r="B26" s="11" t="n">
        <v>13417</v>
      </c>
      <c r="C26" s="11" t="n">
        <v>11714.86</v>
      </c>
      <c r="D26" s="11" t="n">
        <v>7500</v>
      </c>
      <c r="E26" s="11" t="n">
        <v>10000</v>
      </c>
      <c r="F26" s="11" t="inlineStr">
        <is>
          <t>--</t>
        </is>
      </c>
      <c r="G26" s="11" t="inlineStr">
        <is>
          <t>--</t>
        </is>
      </c>
      <c r="H26" s="11" t="inlineStr">
        <is>
          <t>--</t>
        </is>
      </c>
      <c r="I26" s="11" t="n">
        <v>1702.139999999999</v>
      </c>
    </row>
    <row r="27" ht="15" customHeight="1">
      <c r="A27" s="13" t="inlineStr">
        <is>
          <t>Plant Sale</t>
        </is>
      </c>
      <c r="B27" s="14" t="n">
        <v>8202.68</v>
      </c>
      <c r="C27" s="14" t="n">
        <v>5615.95</v>
      </c>
      <c r="D27" s="14" t="n">
        <v>8000</v>
      </c>
      <c r="E27" s="14" t="n">
        <v>6000</v>
      </c>
      <c r="F27" s="14" t="inlineStr">
        <is>
          <t>--</t>
        </is>
      </c>
      <c r="G27" s="14" t="inlineStr">
        <is>
          <t>--</t>
        </is>
      </c>
      <c r="H27" s="14" t="inlineStr">
        <is>
          <t>--</t>
        </is>
      </c>
      <c r="I27" s="14" t="n">
        <v>2586.73</v>
      </c>
    </row>
    <row r="28" ht="15" customHeight="1">
      <c r="A28" s="10" t="inlineStr">
        <is>
          <t>Spiritwear</t>
        </is>
      </c>
      <c r="B28" s="11" t="n">
        <v>1253.96</v>
      </c>
      <c r="C28" s="11" t="inlineStr">
        <is>
          <t>--</t>
        </is>
      </c>
      <c r="D28" s="11" t="n">
        <v>1500</v>
      </c>
      <c r="E28" s="11" t="n">
        <v>1000</v>
      </c>
      <c r="F28" s="11" t="inlineStr">
        <is>
          <t>--</t>
        </is>
      </c>
      <c r="G28" s="11" t="inlineStr">
        <is>
          <t>--</t>
        </is>
      </c>
      <c r="H28" s="11" t="inlineStr">
        <is>
          <t>--</t>
        </is>
      </c>
      <c r="I28" s="11" t="n">
        <v>1253.96</v>
      </c>
    </row>
    <row r="29" ht="18" customHeight="1">
      <c r="A29" s="7" t="inlineStr">
        <is>
          <t>TOTAL:</t>
        </is>
      </c>
      <c r="B29" s="8" t="n">
        <v>94042.25000000001</v>
      </c>
      <c r="C29" s="8" t="n">
        <v>63065.42999999999</v>
      </c>
      <c r="D29" s="8" t="n">
        <v>42600</v>
      </c>
      <c r="E29" s="8" t="n">
        <v>57500</v>
      </c>
      <c r="F29" s="8" t="inlineStr">
        <is>
          <t>--</t>
        </is>
      </c>
      <c r="G29" s="8" t="inlineStr">
        <is>
          <t>--</t>
        </is>
      </c>
      <c r="H29" s="8" t="inlineStr">
        <is>
          <t>--</t>
        </is>
      </c>
      <c r="I29" s="8" t="n">
        <v>30976.82000000002</v>
      </c>
    </row>
    <row r="31" ht="20" customHeight="1">
      <c r="A31" s="4" t="inlineStr">
        <is>
          <t>Programs</t>
        </is>
      </c>
    </row>
    <row r="32" ht="15" customHeight="1">
      <c r="A32" s="10" t="inlineStr">
        <is>
          <t>Bus Driver Appreciation</t>
        </is>
      </c>
      <c r="B32" s="11" t="inlineStr">
        <is>
          <t>--</t>
        </is>
      </c>
      <c r="C32" s="11" t="n">
        <v>240</v>
      </c>
      <c r="D32" s="11" t="inlineStr">
        <is>
          <t>--</t>
        </is>
      </c>
      <c r="E32" s="11" t="n">
        <v>300</v>
      </c>
      <c r="F32" s="11" t="inlineStr">
        <is>
          <t>--</t>
        </is>
      </c>
      <c r="G32" s="11" t="inlineStr">
        <is>
          <t>--</t>
        </is>
      </c>
      <c r="H32" s="11" t="inlineStr">
        <is>
          <t>--</t>
        </is>
      </c>
      <c r="I32" s="11" t="n">
        <v>-240</v>
      </c>
    </row>
    <row r="33" ht="15" customHeight="1">
      <c r="A33" s="13" t="inlineStr">
        <is>
          <t>Electric Parade</t>
        </is>
      </c>
      <c r="B33" s="14" t="inlineStr">
        <is>
          <t>--</t>
        </is>
      </c>
      <c r="C33" s="14" t="n">
        <v>371.89</v>
      </c>
      <c r="D33" s="14" t="inlineStr">
        <is>
          <t>--</t>
        </is>
      </c>
      <c r="E33" s="14" t="n">
        <v>200</v>
      </c>
      <c r="F33" s="14" t="inlineStr">
        <is>
          <t>--</t>
        </is>
      </c>
      <c r="G33" s="14" t="inlineStr">
        <is>
          <t>--</t>
        </is>
      </c>
      <c r="H33" s="14" t="inlineStr">
        <is>
          <t>--</t>
        </is>
      </c>
      <c r="I33" s="14" t="n">
        <v>-371.89</v>
      </c>
    </row>
    <row r="34" ht="15" customHeight="1">
      <c r="A34" s="10" t="inlineStr">
        <is>
          <t>Family Connect Nights</t>
        </is>
      </c>
      <c r="B34" s="11" t="inlineStr">
        <is>
          <t>--</t>
        </is>
      </c>
      <c r="C34" s="11" t="n">
        <v>771</v>
      </c>
      <c r="D34" s="11" t="inlineStr">
        <is>
          <t>--</t>
        </is>
      </c>
      <c r="E34" s="11" t="n">
        <v>1500</v>
      </c>
      <c r="F34" s="11" t="inlineStr">
        <is>
          <t>--</t>
        </is>
      </c>
      <c r="G34" s="11" t="inlineStr">
        <is>
          <t>--</t>
        </is>
      </c>
      <c r="H34" s="11" t="inlineStr">
        <is>
          <t>--</t>
        </is>
      </c>
      <c r="I34" s="11" t="n">
        <v>-771</v>
      </c>
    </row>
    <row r="35" ht="15" customHeight="1">
      <c r="A35" s="13" t="inlineStr">
        <is>
          <t>Gingerbread U</t>
        </is>
      </c>
      <c r="B35" s="14" t="n">
        <v>3515</v>
      </c>
      <c r="C35" s="14" t="n">
        <v>4245.66</v>
      </c>
      <c r="D35" s="14" t="inlineStr">
        <is>
          <t>--</t>
        </is>
      </c>
      <c r="E35" s="14" t="n">
        <v>4500</v>
      </c>
      <c r="F35" s="14" t="inlineStr">
        <is>
          <t>--</t>
        </is>
      </c>
      <c r="G35" s="14" t="inlineStr">
        <is>
          <t>--</t>
        </is>
      </c>
      <c r="H35" s="14" t="inlineStr">
        <is>
          <t>--</t>
        </is>
      </c>
      <c r="I35" s="14" t="n">
        <v>-730.6599999999999</v>
      </c>
    </row>
    <row r="36" ht="15" customHeight="1">
      <c r="A36" s="10" t="inlineStr">
        <is>
          <t>Homecoming</t>
        </is>
      </c>
      <c r="B36" s="11" t="inlineStr">
        <is>
          <t>--</t>
        </is>
      </c>
      <c r="C36" s="11" t="n">
        <v>266.31</v>
      </c>
      <c r="D36" s="11" t="inlineStr">
        <is>
          <t>--</t>
        </is>
      </c>
      <c r="E36" s="11" t="n">
        <v>150</v>
      </c>
      <c r="F36" s="11" t="inlineStr">
        <is>
          <t>--</t>
        </is>
      </c>
      <c r="G36" s="11" t="inlineStr">
        <is>
          <t>--</t>
        </is>
      </c>
      <c r="H36" s="11" t="inlineStr">
        <is>
          <t>--</t>
        </is>
      </c>
      <c r="I36" s="11" t="n">
        <v>-266.31</v>
      </c>
    </row>
    <row r="37" ht="15" customHeight="1">
      <c r="A37" s="13" t="inlineStr">
        <is>
          <t>K Playdate</t>
        </is>
      </c>
      <c r="B37" s="14" t="inlineStr">
        <is>
          <t>--</t>
        </is>
      </c>
      <c r="C37" s="14" t="n">
        <v>83.13</v>
      </c>
      <c r="D37" s="14" t="inlineStr">
        <is>
          <t>--</t>
        </is>
      </c>
      <c r="E37" s="14" t="n">
        <v>300</v>
      </c>
      <c r="F37" s="14" t="inlineStr">
        <is>
          <t>--</t>
        </is>
      </c>
      <c r="G37" s="14" t="inlineStr">
        <is>
          <t>--</t>
        </is>
      </c>
      <c r="H37" s="14" t="inlineStr">
        <is>
          <t>--</t>
        </is>
      </c>
      <c r="I37" s="14" t="n">
        <v>-83.13</v>
      </c>
    </row>
    <row r="38" ht="15" customHeight="1">
      <c r="A38" s="10" t="inlineStr">
        <is>
          <t>K Orientation</t>
        </is>
      </c>
      <c r="B38" s="11" t="inlineStr">
        <is>
          <t>--</t>
        </is>
      </c>
      <c r="C38" s="11" t="inlineStr">
        <is>
          <t>--</t>
        </is>
      </c>
      <c r="D38" s="11" t="inlineStr">
        <is>
          <t>--</t>
        </is>
      </c>
      <c r="E38" s="11" t="n">
        <v>400</v>
      </c>
      <c r="F38" s="11" t="inlineStr">
        <is>
          <t>--</t>
        </is>
      </c>
      <c r="G38" s="11" t="inlineStr">
        <is>
          <t>--</t>
        </is>
      </c>
      <c r="H38" s="11" t="inlineStr">
        <is>
          <t>--</t>
        </is>
      </c>
      <c r="I38" s="11" t="inlineStr">
        <is>
          <t>--</t>
        </is>
      </c>
    </row>
    <row r="39" ht="15" customHeight="1">
      <c r="A39" s="13" t="inlineStr">
        <is>
          <t>Milk &amp; Cookies</t>
        </is>
      </c>
      <c r="B39" s="14" t="inlineStr">
        <is>
          <t>--</t>
        </is>
      </c>
      <c r="C39" s="14" t="n">
        <v>358.07</v>
      </c>
      <c r="D39" s="14" t="inlineStr">
        <is>
          <t>--</t>
        </is>
      </c>
      <c r="E39" s="14" t="n">
        <v>750</v>
      </c>
      <c r="F39" s="14" t="inlineStr">
        <is>
          <t>--</t>
        </is>
      </c>
      <c r="G39" s="14" t="inlineStr">
        <is>
          <t>--</t>
        </is>
      </c>
      <c r="H39" s="14" t="inlineStr">
        <is>
          <t>--</t>
        </is>
      </c>
      <c r="I39" s="14" t="n">
        <v>-358.07</v>
      </c>
    </row>
    <row r="40" ht="15" customHeight="1">
      <c r="A40" s="10" t="inlineStr">
        <is>
          <t>Multicultural Night</t>
        </is>
      </c>
      <c r="B40" s="11" t="inlineStr">
        <is>
          <t>--</t>
        </is>
      </c>
      <c r="C40" s="11" t="n">
        <v>2022.51</v>
      </c>
      <c r="D40" s="11" t="inlineStr">
        <is>
          <t>--</t>
        </is>
      </c>
      <c r="E40" s="11" t="n">
        <v>2500</v>
      </c>
      <c r="F40" s="11" t="inlineStr">
        <is>
          <t>--</t>
        </is>
      </c>
      <c r="G40" s="11" t="inlineStr">
        <is>
          <t>--</t>
        </is>
      </c>
      <c r="H40" s="11" t="inlineStr">
        <is>
          <t>--</t>
        </is>
      </c>
      <c r="I40" s="11" t="n">
        <v>-2022.51</v>
      </c>
    </row>
    <row r="41" ht="15" customHeight="1">
      <c r="A41" s="13" t="inlineStr">
        <is>
          <t>Outdoor Movie</t>
        </is>
      </c>
      <c r="B41" s="14" t="inlineStr">
        <is>
          <t>--</t>
        </is>
      </c>
      <c r="C41" s="14" t="n">
        <v>1884.2</v>
      </c>
      <c r="D41" s="14" t="inlineStr">
        <is>
          <t>--</t>
        </is>
      </c>
      <c r="E41" s="14" t="n">
        <v>2500</v>
      </c>
      <c r="F41" s="14" t="inlineStr">
        <is>
          <t>--</t>
        </is>
      </c>
      <c r="G41" s="14" t="inlineStr">
        <is>
          <t>--</t>
        </is>
      </c>
      <c r="H41" s="14" t="inlineStr">
        <is>
          <t>--</t>
        </is>
      </c>
      <c r="I41" s="14" t="n">
        <v>-1884.2</v>
      </c>
    </row>
    <row r="42" ht="15" customHeight="1">
      <c r="A42" s="10" t="inlineStr">
        <is>
          <t>Science Fair</t>
        </is>
      </c>
      <c r="B42" s="11" t="inlineStr">
        <is>
          <t>--</t>
        </is>
      </c>
      <c r="C42" s="11" t="n">
        <v>883.54</v>
      </c>
      <c r="D42" s="11" t="inlineStr">
        <is>
          <t>--</t>
        </is>
      </c>
      <c r="E42" s="11" t="n">
        <v>1500</v>
      </c>
      <c r="F42" s="11" t="inlineStr">
        <is>
          <t>--</t>
        </is>
      </c>
      <c r="G42" s="11" t="inlineStr">
        <is>
          <t>--</t>
        </is>
      </c>
      <c r="H42" s="11" t="inlineStr">
        <is>
          <t>--</t>
        </is>
      </c>
      <c r="I42" s="11" t="n">
        <v>-883.54</v>
      </c>
    </row>
    <row r="43" ht="15" customHeight="1">
      <c r="A43" s="13" t="inlineStr">
        <is>
          <t>Spring Fling</t>
        </is>
      </c>
      <c r="B43" s="14" t="inlineStr">
        <is>
          <t>--</t>
        </is>
      </c>
      <c r="C43" s="14" t="inlineStr">
        <is>
          <t>--</t>
        </is>
      </c>
      <c r="D43" s="14" t="inlineStr">
        <is>
          <t>--</t>
        </is>
      </c>
      <c r="E43" s="14" t="n">
        <v>2500</v>
      </c>
      <c r="F43" s="14" t="inlineStr">
        <is>
          <t>--</t>
        </is>
      </c>
      <c r="G43" s="14" t="inlineStr">
        <is>
          <t>--</t>
        </is>
      </c>
      <c r="H43" s="14" t="inlineStr">
        <is>
          <t>--</t>
        </is>
      </c>
      <c r="I43" s="14" t="inlineStr">
        <is>
          <t>--</t>
        </is>
      </c>
    </row>
    <row r="44" ht="15" customHeight="1">
      <c r="A44" s="10" t="inlineStr">
        <is>
          <t>Spring Dance K-5</t>
        </is>
      </c>
      <c r="B44" s="11" t="inlineStr">
        <is>
          <t>--</t>
        </is>
      </c>
      <c r="C44" s="11" t="inlineStr">
        <is>
          <t>--</t>
        </is>
      </c>
      <c r="D44" s="11" t="inlineStr">
        <is>
          <t>--</t>
        </is>
      </c>
      <c r="E44" s="11" t="n">
        <v>500</v>
      </c>
      <c r="F44" s="11" t="inlineStr">
        <is>
          <t>--</t>
        </is>
      </c>
      <c r="G44" s="11" t="inlineStr">
        <is>
          <t>--</t>
        </is>
      </c>
      <c r="H44" s="11" t="inlineStr">
        <is>
          <t>--</t>
        </is>
      </c>
      <c r="I44" s="11" t="inlineStr">
        <is>
          <t>--</t>
        </is>
      </c>
    </row>
    <row r="45" ht="15" customHeight="1">
      <c r="A45" s="13" t="inlineStr">
        <is>
          <t>Staff Appreciation</t>
        </is>
      </c>
      <c r="B45" s="14" t="n">
        <v>1625</v>
      </c>
      <c r="C45" s="14" t="n">
        <v>3840</v>
      </c>
      <c r="D45" s="14" t="n">
        <v>1000</v>
      </c>
      <c r="E45" s="14" t="n">
        <v>4000</v>
      </c>
      <c r="F45" s="14" t="inlineStr">
        <is>
          <t>--</t>
        </is>
      </c>
      <c r="G45" s="14" t="inlineStr">
        <is>
          <t>--</t>
        </is>
      </c>
      <c r="H45" s="14" t="inlineStr">
        <is>
          <t>--</t>
        </is>
      </c>
      <c r="I45" s="14" t="n">
        <v>-2215</v>
      </c>
    </row>
    <row r="46" ht="15" customHeight="1">
      <c r="A46" s="10" t="inlineStr">
        <is>
          <t>Talent Show</t>
        </is>
      </c>
      <c r="B46" s="11" t="n">
        <v>1070</v>
      </c>
      <c r="C46" s="11" t="n">
        <v>340.62</v>
      </c>
      <c r="D46" s="11" t="n">
        <v>750</v>
      </c>
      <c r="E46" s="11" t="n">
        <v>1000</v>
      </c>
      <c r="F46" s="11" t="inlineStr">
        <is>
          <t>--</t>
        </is>
      </c>
      <c r="G46" s="11" t="inlineStr">
        <is>
          <t>--</t>
        </is>
      </c>
      <c r="H46" s="11" t="inlineStr">
        <is>
          <t>--</t>
        </is>
      </c>
      <c r="I46" s="11" t="n">
        <v>729.38</v>
      </c>
    </row>
    <row r="47" ht="15" customHeight="1">
      <c r="A47" s="13" t="inlineStr">
        <is>
          <t>Talent Show DJ</t>
        </is>
      </c>
      <c r="B47" s="14" t="inlineStr">
        <is>
          <t>--</t>
        </is>
      </c>
      <c r="C47" s="14" t="n">
        <v>550</v>
      </c>
      <c r="D47" s="14" t="inlineStr">
        <is>
          <t>--</t>
        </is>
      </c>
      <c r="E47" s="14" t="n">
        <v>500</v>
      </c>
      <c r="F47" s="14" t="inlineStr">
        <is>
          <t>--</t>
        </is>
      </c>
      <c r="G47" s="14" t="inlineStr">
        <is>
          <t>--</t>
        </is>
      </c>
      <c r="H47" s="14" t="inlineStr">
        <is>
          <t>--</t>
        </is>
      </c>
      <c r="I47" s="14" t="n">
        <v>-550</v>
      </c>
    </row>
    <row r="48" ht="15" customHeight="1">
      <c r="A48" s="10" t="inlineStr">
        <is>
          <t>Volunteer Breakfast</t>
        </is>
      </c>
      <c r="B48" s="11" t="inlineStr">
        <is>
          <t>--</t>
        </is>
      </c>
      <c r="C48" s="11" t="n">
        <v>64</v>
      </c>
      <c r="D48" s="11" t="inlineStr">
        <is>
          <t>--</t>
        </is>
      </c>
      <c r="E48" s="11" t="n">
        <v>350</v>
      </c>
      <c r="F48" s="11" t="inlineStr">
        <is>
          <t>--</t>
        </is>
      </c>
      <c r="G48" s="11" t="inlineStr">
        <is>
          <t>--</t>
        </is>
      </c>
      <c r="H48" s="11" t="inlineStr">
        <is>
          <t>--</t>
        </is>
      </c>
      <c r="I48" s="11" t="n">
        <v>-64</v>
      </c>
    </row>
    <row r="49" ht="15" customHeight="1">
      <c r="A49" s="13" t="inlineStr">
        <is>
          <t>Welcome Back Breakfast</t>
        </is>
      </c>
      <c r="B49" s="14" t="inlineStr">
        <is>
          <t>--</t>
        </is>
      </c>
      <c r="C49" s="14" t="n">
        <v>582.66</v>
      </c>
      <c r="D49" s="14" t="inlineStr">
        <is>
          <t>--</t>
        </is>
      </c>
      <c r="E49" s="14" t="n">
        <v>1000</v>
      </c>
      <c r="F49" s="14" t="inlineStr">
        <is>
          <t>--</t>
        </is>
      </c>
      <c r="G49" s="14" t="inlineStr">
        <is>
          <t>--</t>
        </is>
      </c>
      <c r="H49" s="14" t="inlineStr">
        <is>
          <t>--</t>
        </is>
      </c>
      <c r="I49" s="14" t="n">
        <v>-582.66</v>
      </c>
    </row>
    <row r="50" ht="15" customHeight="1">
      <c r="A50" s="10" t="inlineStr">
        <is>
          <t>WINGO</t>
        </is>
      </c>
      <c r="B50" s="11" t="inlineStr">
        <is>
          <t>--</t>
        </is>
      </c>
      <c r="C50" s="11" t="inlineStr">
        <is>
          <t>--</t>
        </is>
      </c>
      <c r="D50" s="11" t="inlineStr">
        <is>
          <t>--</t>
        </is>
      </c>
      <c r="E50" s="11" t="n">
        <v>500</v>
      </c>
      <c r="F50" s="11" t="inlineStr">
        <is>
          <t>--</t>
        </is>
      </c>
      <c r="G50" s="11" t="inlineStr">
        <is>
          <t>--</t>
        </is>
      </c>
      <c r="H50" s="11" t="inlineStr">
        <is>
          <t>--</t>
        </is>
      </c>
      <c r="I50" s="11" t="inlineStr">
        <is>
          <t>--</t>
        </is>
      </c>
    </row>
    <row r="51" ht="18" customHeight="1">
      <c r="A51" s="7" t="inlineStr">
        <is>
          <t>TOTAL:</t>
        </is>
      </c>
      <c r="B51" s="8" t="n">
        <v>6210</v>
      </c>
      <c r="C51" s="8" t="n">
        <v>16503.59</v>
      </c>
      <c r="D51" s="8" t="n">
        <v>1750</v>
      </c>
      <c r="E51" s="8" t="n">
        <v>24950</v>
      </c>
      <c r="F51" s="8" t="inlineStr">
        <is>
          <t>--</t>
        </is>
      </c>
      <c r="G51" s="8" t="inlineStr">
        <is>
          <t>--</t>
        </is>
      </c>
      <c r="H51" s="8" t="inlineStr">
        <is>
          <t>--</t>
        </is>
      </c>
      <c r="I51" s="8" t="n">
        <v>-10293.59</v>
      </c>
    </row>
    <row r="53" ht="20" customHeight="1">
      <c r="A53" s="4" t="inlineStr">
        <is>
          <t>Donations</t>
        </is>
      </c>
    </row>
    <row r="54" ht="15" customHeight="1">
      <c r="A54" s="10" t="inlineStr">
        <is>
          <t>BOE Gifts</t>
        </is>
      </c>
      <c r="B54" s="11" t="inlineStr">
        <is>
          <t>--</t>
        </is>
      </c>
      <c r="C54" s="11" t="n">
        <v>200</v>
      </c>
      <c r="D54" s="11" t="inlineStr">
        <is>
          <t>--</t>
        </is>
      </c>
      <c r="E54" s="11" t="n">
        <v>180</v>
      </c>
      <c r="F54" s="11" t="inlineStr">
        <is>
          <t>--</t>
        </is>
      </c>
      <c r="G54" s="11" t="inlineStr">
        <is>
          <t>--</t>
        </is>
      </c>
      <c r="H54" s="11" t="inlineStr">
        <is>
          <t>--</t>
        </is>
      </c>
      <c r="I54" s="11" t="n">
        <v>-200</v>
      </c>
    </row>
    <row r="55" ht="15" customHeight="1">
      <c r="A55" s="13" t="inlineStr">
        <is>
          <t>Cultural Arts</t>
        </is>
      </c>
      <c r="B55" s="14" t="inlineStr">
        <is>
          <t>--</t>
        </is>
      </c>
      <c r="C55" s="14" t="n">
        <v>14651.2</v>
      </c>
      <c r="D55" s="14" t="inlineStr">
        <is>
          <t>--</t>
        </is>
      </c>
      <c r="E55" s="14" t="n">
        <v>15000</v>
      </c>
      <c r="F55" s="14" t="inlineStr">
        <is>
          <t>--</t>
        </is>
      </c>
      <c r="G55" s="14" t="inlineStr">
        <is>
          <t>--</t>
        </is>
      </c>
      <c r="H55" s="14" t="inlineStr">
        <is>
          <t>--</t>
        </is>
      </c>
      <c r="I55" s="14" t="n">
        <v>-14651.2</v>
      </c>
    </row>
    <row r="56" ht="15" customHeight="1">
      <c r="A56" s="10" t="inlineStr">
        <is>
          <t>Folders</t>
        </is>
      </c>
      <c r="B56" s="11" t="inlineStr">
        <is>
          <t>--</t>
        </is>
      </c>
      <c r="C56" s="11" t="n">
        <v>580</v>
      </c>
      <c r="D56" s="11" t="inlineStr">
        <is>
          <t>--</t>
        </is>
      </c>
      <c r="E56" s="11" t="n">
        <v>600</v>
      </c>
      <c r="F56" s="11" t="inlineStr">
        <is>
          <t>--</t>
        </is>
      </c>
      <c r="G56" s="11" t="inlineStr">
        <is>
          <t>--</t>
        </is>
      </c>
      <c r="H56" s="11" t="inlineStr">
        <is>
          <t>--</t>
        </is>
      </c>
      <c r="I56" s="11" t="n">
        <v>-580</v>
      </c>
    </row>
    <row r="57" ht="15" customHeight="1">
      <c r="A57" s="13" t="inlineStr">
        <is>
          <t>Gardening</t>
        </is>
      </c>
      <c r="B57" s="14" t="inlineStr">
        <is>
          <t>--</t>
        </is>
      </c>
      <c r="C57" s="14" t="inlineStr">
        <is>
          <t>--</t>
        </is>
      </c>
      <c r="D57" s="14" t="inlineStr">
        <is>
          <t>--</t>
        </is>
      </c>
      <c r="E57" s="14" t="n">
        <v>500</v>
      </c>
      <c r="F57" s="14" t="inlineStr">
        <is>
          <t>--</t>
        </is>
      </c>
      <c r="G57" s="14" t="inlineStr">
        <is>
          <t>--</t>
        </is>
      </c>
      <c r="H57" s="14" t="inlineStr">
        <is>
          <t>--</t>
        </is>
      </c>
      <c r="I57" s="14" t="inlineStr">
        <is>
          <t>--</t>
        </is>
      </c>
    </row>
    <row r="58" ht="15" customHeight="1">
      <c r="A58" s="10" t="inlineStr">
        <is>
          <t>Hospitality</t>
        </is>
      </c>
      <c r="B58" s="11" t="inlineStr">
        <is>
          <t>--</t>
        </is>
      </c>
      <c r="C58" s="11" t="n">
        <v>124.7</v>
      </c>
      <c r="D58" s="11" t="inlineStr">
        <is>
          <t>--</t>
        </is>
      </c>
      <c r="E58" s="11" t="n">
        <v>750</v>
      </c>
      <c r="F58" s="11" t="inlineStr">
        <is>
          <t>--</t>
        </is>
      </c>
      <c r="G58" s="11" t="inlineStr">
        <is>
          <t>--</t>
        </is>
      </c>
      <c r="H58" s="11" t="inlineStr">
        <is>
          <t>--</t>
        </is>
      </c>
      <c r="I58" s="11" t="n">
        <v>-124.7</v>
      </c>
    </row>
    <row r="59" ht="15" customHeight="1">
      <c r="A59" s="13" t="inlineStr">
        <is>
          <t>5th Staff T-Shirts</t>
        </is>
      </c>
      <c r="B59" s="14" t="inlineStr">
        <is>
          <t>--</t>
        </is>
      </c>
      <c r="C59" s="14" t="n">
        <v>191.78</v>
      </c>
      <c r="D59" s="14" t="inlineStr">
        <is>
          <t>--</t>
        </is>
      </c>
      <c r="E59" s="14" t="n">
        <v>125</v>
      </c>
      <c r="F59" s="14" t="inlineStr">
        <is>
          <t>--</t>
        </is>
      </c>
      <c r="G59" s="14" t="inlineStr">
        <is>
          <t>--</t>
        </is>
      </c>
      <c r="H59" s="14" t="inlineStr">
        <is>
          <t>--</t>
        </is>
      </c>
      <c r="I59" s="14" t="n">
        <v>-191.78</v>
      </c>
    </row>
    <row r="60" ht="15" customHeight="1">
      <c r="A60" s="10" t="inlineStr">
        <is>
          <t>Recess Equipment/Allied Fund</t>
        </is>
      </c>
      <c r="B60" s="11" t="inlineStr">
        <is>
          <t>--</t>
        </is>
      </c>
      <c r="C60" s="11" t="n">
        <v>1000</v>
      </c>
      <c r="D60" s="11" t="inlineStr">
        <is>
          <t>--</t>
        </is>
      </c>
      <c r="E60" s="11" t="n">
        <v>1000</v>
      </c>
      <c r="F60" s="11" t="inlineStr">
        <is>
          <t>--</t>
        </is>
      </c>
      <c r="G60" s="11" t="inlineStr">
        <is>
          <t>--</t>
        </is>
      </c>
      <c r="H60" s="11" t="inlineStr">
        <is>
          <t>--</t>
        </is>
      </c>
      <c r="I60" s="11" t="n">
        <v>-1000</v>
      </c>
    </row>
    <row r="61" ht="15" customHeight="1">
      <c r="A61" s="13" t="inlineStr">
        <is>
          <t>School Spirit</t>
        </is>
      </c>
      <c r="B61" s="14" t="inlineStr">
        <is>
          <t>--</t>
        </is>
      </c>
      <c r="C61" s="14" t="n">
        <v>280.76</v>
      </c>
      <c r="D61" s="14" t="inlineStr">
        <is>
          <t>--</t>
        </is>
      </c>
      <c r="E61" s="14" t="n">
        <v>750</v>
      </c>
      <c r="F61" s="14" t="inlineStr">
        <is>
          <t>--</t>
        </is>
      </c>
      <c r="G61" s="14" t="inlineStr">
        <is>
          <t>--</t>
        </is>
      </c>
      <c r="H61" s="14" t="inlineStr">
        <is>
          <t>--</t>
        </is>
      </c>
      <c r="I61" s="14" t="n">
        <v>-280.76</v>
      </c>
    </row>
    <row r="62" ht="15" customHeight="1">
      <c r="A62" s="10" t="inlineStr">
        <is>
          <t>Sling Bags</t>
        </is>
      </c>
      <c r="B62" s="11" t="inlineStr">
        <is>
          <t>--</t>
        </is>
      </c>
      <c r="C62" s="11" t="n">
        <v>2354.5</v>
      </c>
      <c r="D62" s="11" t="inlineStr">
        <is>
          <t>--</t>
        </is>
      </c>
      <c r="E62" s="11" t="n">
        <v>1500</v>
      </c>
      <c r="F62" s="11" t="inlineStr">
        <is>
          <t>--</t>
        </is>
      </c>
      <c r="G62" s="11" t="inlineStr">
        <is>
          <t>--</t>
        </is>
      </c>
      <c r="H62" s="11" t="inlineStr">
        <is>
          <t>--</t>
        </is>
      </c>
      <c r="I62" s="11" t="n">
        <v>-2354.5</v>
      </c>
    </row>
    <row r="63" ht="15" customHeight="1">
      <c r="A63" s="13" t="inlineStr">
        <is>
          <t>Spelling Bee</t>
        </is>
      </c>
      <c r="B63" s="14" t="inlineStr">
        <is>
          <t>--</t>
        </is>
      </c>
      <c r="C63" s="14" t="n">
        <v>192.5</v>
      </c>
      <c r="D63" s="14" t="inlineStr">
        <is>
          <t>--</t>
        </is>
      </c>
      <c r="E63" s="14" t="n">
        <v>225</v>
      </c>
      <c r="F63" s="14" t="inlineStr">
        <is>
          <t>--</t>
        </is>
      </c>
      <c r="G63" s="14" t="inlineStr">
        <is>
          <t>--</t>
        </is>
      </c>
      <c r="H63" s="14" t="inlineStr">
        <is>
          <t>--</t>
        </is>
      </c>
      <c r="I63" s="14" t="n">
        <v>-192.5</v>
      </c>
    </row>
    <row r="64" ht="15" customHeight="1">
      <c r="A64" s="10" t="inlineStr">
        <is>
          <t>Sunshine Fund</t>
        </is>
      </c>
      <c r="B64" s="11" t="inlineStr">
        <is>
          <t>--</t>
        </is>
      </c>
      <c r="C64" s="11" t="n">
        <v>210</v>
      </c>
      <c r="D64" s="11" t="inlineStr">
        <is>
          <t>--</t>
        </is>
      </c>
      <c r="E64" s="11" t="n">
        <v>500</v>
      </c>
      <c r="F64" s="11" t="inlineStr">
        <is>
          <t>--</t>
        </is>
      </c>
      <c r="G64" s="11" t="inlineStr">
        <is>
          <t>--</t>
        </is>
      </c>
      <c r="H64" s="11" t="inlineStr">
        <is>
          <t>--</t>
        </is>
      </c>
      <c r="I64" s="11" t="n">
        <v>-210</v>
      </c>
    </row>
    <row r="65" ht="15" customHeight="1">
      <c r="A65" s="13" t="inlineStr">
        <is>
          <t>Trick or Treat Street</t>
        </is>
      </c>
      <c r="B65" s="14" t="inlineStr">
        <is>
          <t>--</t>
        </is>
      </c>
      <c r="C65" s="14" t="inlineStr">
        <is>
          <t>--</t>
        </is>
      </c>
      <c r="D65" s="14" t="inlineStr">
        <is>
          <t>--</t>
        </is>
      </c>
      <c r="E65" s="14" t="n">
        <v>250</v>
      </c>
      <c r="F65" s="14" t="inlineStr">
        <is>
          <t>--</t>
        </is>
      </c>
      <c r="G65" s="14" t="inlineStr">
        <is>
          <t>--</t>
        </is>
      </c>
      <c r="H65" s="14" t="inlineStr">
        <is>
          <t>--</t>
        </is>
      </c>
      <c r="I65" s="14" t="inlineStr">
        <is>
          <t>--</t>
        </is>
      </c>
    </row>
    <row r="66" ht="15" customHeight="1">
      <c r="A66" s="10" t="inlineStr">
        <is>
          <t>WM Scholarships</t>
        </is>
      </c>
      <c r="B66" s="11" t="inlineStr">
        <is>
          <t>--</t>
        </is>
      </c>
      <c r="C66" s="11" t="n">
        <v>1000</v>
      </c>
      <c r="D66" s="11" t="inlineStr">
        <is>
          <t>--</t>
        </is>
      </c>
      <c r="E66" s="11" t="n">
        <v>1000</v>
      </c>
      <c r="F66" s="11" t="inlineStr">
        <is>
          <t>--</t>
        </is>
      </c>
      <c r="G66" s="11" t="inlineStr">
        <is>
          <t>--</t>
        </is>
      </c>
      <c r="H66" s="11" t="inlineStr">
        <is>
          <t>--</t>
        </is>
      </c>
      <c r="I66" s="11" t="n">
        <v>-1000</v>
      </c>
    </row>
    <row r="67" ht="18" customHeight="1">
      <c r="A67" s="7" t="inlineStr">
        <is>
          <t>TOTAL:</t>
        </is>
      </c>
      <c r="B67" s="8" t="inlineStr">
        <is>
          <t>--</t>
        </is>
      </c>
      <c r="C67" s="8" t="n">
        <v>20785.44</v>
      </c>
      <c r="D67" s="8" t="inlineStr">
        <is>
          <t>--</t>
        </is>
      </c>
      <c r="E67" s="8" t="n">
        <v>22380</v>
      </c>
      <c r="F67" s="8" t="inlineStr">
        <is>
          <t>--</t>
        </is>
      </c>
      <c r="G67" s="8" t="inlineStr">
        <is>
          <t>--</t>
        </is>
      </c>
      <c r="H67" s="8" t="inlineStr">
        <is>
          <t>--</t>
        </is>
      </c>
      <c r="I67" s="8" t="n">
        <v>-20785.44</v>
      </c>
    </row>
    <row r="69" ht="20" customHeight="1">
      <c r="A69" s="4" t="inlineStr">
        <is>
          <t>Grad Class Activities</t>
        </is>
      </c>
    </row>
    <row r="70" ht="15" customHeight="1">
      <c r="A70" s="10" t="inlineStr">
        <is>
          <t>Monster Bash</t>
        </is>
      </c>
      <c r="B70" s="11" t="inlineStr">
        <is>
          <t>--</t>
        </is>
      </c>
      <c r="C70" s="11" t="n">
        <v>402.84</v>
      </c>
      <c r="D70" s="11" t="inlineStr">
        <is>
          <t>--</t>
        </is>
      </c>
      <c r="E70" s="11" t="n">
        <v>1300</v>
      </c>
      <c r="F70" s="11" t="inlineStr">
        <is>
          <t>--</t>
        </is>
      </c>
      <c r="G70" s="11" t="inlineStr">
        <is>
          <t>--</t>
        </is>
      </c>
      <c r="H70" s="11" t="inlineStr">
        <is>
          <t>--</t>
        </is>
      </c>
      <c r="I70" s="11" t="n">
        <v>-402.84</v>
      </c>
    </row>
    <row r="71" ht="15" customHeight="1">
      <c r="A71" s="13" t="inlineStr">
        <is>
          <t>Monster Bash DJ</t>
        </is>
      </c>
      <c r="B71" s="14" t="inlineStr">
        <is>
          <t>--</t>
        </is>
      </c>
      <c r="C71" s="14" t="n">
        <v>500</v>
      </c>
      <c r="D71" s="14" t="inlineStr">
        <is>
          <t>--</t>
        </is>
      </c>
      <c r="E71" s="14" t="n">
        <v>500</v>
      </c>
      <c r="F71" s="14" t="inlineStr">
        <is>
          <t>--</t>
        </is>
      </c>
      <c r="G71" s="14" t="inlineStr">
        <is>
          <t>--</t>
        </is>
      </c>
      <c r="H71" s="14" t="inlineStr">
        <is>
          <t>--</t>
        </is>
      </c>
      <c r="I71" s="14" t="n">
        <v>-500</v>
      </c>
    </row>
    <row r="72" ht="15" customHeight="1">
      <c r="A72" s="10" t="inlineStr">
        <is>
          <t>Electric Parade</t>
        </is>
      </c>
      <c r="B72" s="11" t="inlineStr">
        <is>
          <t>--</t>
        </is>
      </c>
      <c r="C72" s="11" t="inlineStr">
        <is>
          <t>--</t>
        </is>
      </c>
      <c r="D72" s="11" t="inlineStr">
        <is>
          <t>--</t>
        </is>
      </c>
      <c r="E72" s="11" t="n">
        <v>900</v>
      </c>
      <c r="F72" s="11" t="inlineStr">
        <is>
          <t>--</t>
        </is>
      </c>
      <c r="G72" s="11" t="inlineStr">
        <is>
          <t>--</t>
        </is>
      </c>
      <c r="H72" s="11" t="inlineStr">
        <is>
          <t>--</t>
        </is>
      </c>
      <c r="I72" s="11" t="inlineStr">
        <is>
          <t>--</t>
        </is>
      </c>
    </row>
    <row r="73" ht="15" customHeight="1">
      <c r="A73" s="13" t="inlineStr">
        <is>
          <t>Winter Social</t>
        </is>
      </c>
      <c r="B73" s="14" t="inlineStr">
        <is>
          <t>--</t>
        </is>
      </c>
      <c r="C73" s="14" t="n">
        <v>1167.86</v>
      </c>
      <c r="D73" s="14" t="inlineStr">
        <is>
          <t>--</t>
        </is>
      </c>
      <c r="E73" s="14" t="n">
        <v>1300</v>
      </c>
      <c r="F73" s="14" t="inlineStr">
        <is>
          <t>--</t>
        </is>
      </c>
      <c r="G73" s="14" t="inlineStr">
        <is>
          <t>--</t>
        </is>
      </c>
      <c r="H73" s="14" t="inlineStr">
        <is>
          <t>--</t>
        </is>
      </c>
      <c r="I73" s="14" t="n">
        <v>-1167.86</v>
      </c>
    </row>
    <row r="74" ht="15" customHeight="1">
      <c r="A74" s="10" t="inlineStr">
        <is>
          <t>Winter Social DJ</t>
        </is>
      </c>
      <c r="B74" s="11" t="inlineStr">
        <is>
          <t>--</t>
        </is>
      </c>
      <c r="C74" s="11" t="n">
        <v>500</v>
      </c>
      <c r="D74" s="11" t="inlineStr">
        <is>
          <t>--</t>
        </is>
      </c>
      <c r="E74" s="11" t="n">
        <v>500</v>
      </c>
      <c r="F74" s="11" t="inlineStr">
        <is>
          <t>--</t>
        </is>
      </c>
      <c r="G74" s="11" t="inlineStr">
        <is>
          <t>--</t>
        </is>
      </c>
      <c r="H74" s="11" t="inlineStr">
        <is>
          <t>--</t>
        </is>
      </c>
      <c r="I74" s="11" t="n">
        <v>-500</v>
      </c>
    </row>
    <row r="75" ht="15" customHeight="1">
      <c r="A75" s="13" t="inlineStr">
        <is>
          <t>Moving Up</t>
        </is>
      </c>
      <c r="B75" s="14" t="inlineStr">
        <is>
          <t>--</t>
        </is>
      </c>
      <c r="C75" s="14" t="n">
        <v>715</v>
      </c>
      <c r="D75" s="14" t="inlineStr">
        <is>
          <t>--</t>
        </is>
      </c>
      <c r="E75" s="14" t="n">
        <v>400</v>
      </c>
      <c r="F75" s="14" t="inlineStr">
        <is>
          <t>--</t>
        </is>
      </c>
      <c r="G75" s="14" t="inlineStr">
        <is>
          <t>--</t>
        </is>
      </c>
      <c r="H75" s="14" t="inlineStr">
        <is>
          <t>--</t>
        </is>
      </c>
      <c r="I75" s="14" t="n">
        <v>-715</v>
      </c>
    </row>
    <row r="76" ht="15" customHeight="1">
      <c r="A76" s="10" t="inlineStr">
        <is>
          <t>Picnic</t>
        </is>
      </c>
      <c r="B76" s="11" t="inlineStr">
        <is>
          <t>--</t>
        </is>
      </c>
      <c r="C76" s="11" t="n">
        <v>2441.98</v>
      </c>
      <c r="D76" s="11" t="inlineStr">
        <is>
          <t>--</t>
        </is>
      </c>
      <c r="E76" s="11" t="n">
        <v>900</v>
      </c>
      <c r="F76" s="11" t="inlineStr">
        <is>
          <t>--</t>
        </is>
      </c>
      <c r="G76" s="11" t="n">
        <v>181.58</v>
      </c>
      <c r="H76" s="57" t="n">
        <v>-181.58</v>
      </c>
      <c r="I76" s="11" t="n">
        <v>-2441.98</v>
      </c>
    </row>
    <row r="77" ht="15" customHeight="1">
      <c r="A77" s="13" t="inlineStr">
        <is>
          <t>Graduating Class Gifts</t>
        </is>
      </c>
      <c r="B77" s="14" t="inlineStr">
        <is>
          <t>--</t>
        </is>
      </c>
      <c r="C77" s="14" t="n">
        <v>1034.41</v>
      </c>
      <c r="D77" s="14" t="inlineStr">
        <is>
          <t>--</t>
        </is>
      </c>
      <c r="E77" s="14" t="n">
        <v>500</v>
      </c>
      <c r="F77" s="14" t="inlineStr">
        <is>
          <t>--</t>
        </is>
      </c>
      <c r="G77" s="14" t="inlineStr">
        <is>
          <t>--</t>
        </is>
      </c>
      <c r="H77" s="14" t="inlineStr">
        <is>
          <t>--</t>
        </is>
      </c>
      <c r="I77" s="14" t="n">
        <v>-1034.41</v>
      </c>
    </row>
    <row r="78" ht="15" customHeight="1">
      <c r="A78" s="10" t="inlineStr">
        <is>
          <t>Graduating Mural</t>
        </is>
      </c>
      <c r="B78" s="11" t="inlineStr">
        <is>
          <t>--</t>
        </is>
      </c>
      <c r="C78" s="11" t="n">
        <v>244.48</v>
      </c>
      <c r="D78" s="11" t="inlineStr">
        <is>
          <t>--</t>
        </is>
      </c>
      <c r="E78" s="11" t="n">
        <v>350</v>
      </c>
      <c r="F78" s="11" t="inlineStr">
        <is>
          <t>--</t>
        </is>
      </c>
      <c r="G78" s="11" t="inlineStr">
        <is>
          <t>--</t>
        </is>
      </c>
      <c r="H78" s="11" t="inlineStr">
        <is>
          <t>--</t>
        </is>
      </c>
      <c r="I78" s="11" t="n">
        <v>-244.48</v>
      </c>
    </row>
    <row r="79" ht="15" customHeight="1">
      <c r="A79" s="13" t="inlineStr">
        <is>
          <t>5th Grade T-Shirts</t>
        </is>
      </c>
      <c r="B79" s="14" t="inlineStr">
        <is>
          <t>--</t>
        </is>
      </c>
      <c r="C79" s="14" t="n">
        <v>1494.25</v>
      </c>
      <c r="D79" s="14" t="inlineStr">
        <is>
          <t>--</t>
        </is>
      </c>
      <c r="E79" s="14" t="n">
        <v>800</v>
      </c>
      <c r="F79" s="14" t="inlineStr">
        <is>
          <t>--</t>
        </is>
      </c>
      <c r="G79" s="14" t="inlineStr">
        <is>
          <t>--</t>
        </is>
      </c>
      <c r="H79" s="14" t="inlineStr">
        <is>
          <t>--</t>
        </is>
      </c>
      <c r="I79" s="14" t="n">
        <v>-1494.25</v>
      </c>
    </row>
    <row r="80" ht="15" customHeight="1">
      <c r="A80" s="10" t="inlineStr">
        <is>
          <t>Trunk or Treat Fundraiser</t>
        </is>
      </c>
      <c r="B80" s="11" t="inlineStr">
        <is>
          <t>--</t>
        </is>
      </c>
      <c r="C80" s="11" t="n">
        <v>258.67</v>
      </c>
      <c r="D80" s="11" t="inlineStr">
        <is>
          <t>--</t>
        </is>
      </c>
      <c r="E80" s="11" t="n">
        <v>500</v>
      </c>
      <c r="F80" s="11" t="inlineStr">
        <is>
          <t>--</t>
        </is>
      </c>
      <c r="G80" s="11" t="inlineStr">
        <is>
          <t>--</t>
        </is>
      </c>
      <c r="H80" s="11" t="inlineStr">
        <is>
          <t>--</t>
        </is>
      </c>
      <c r="I80" s="11" t="n">
        <v>-258.67</v>
      </c>
    </row>
    <row r="81" ht="15" customHeight="1">
      <c r="A81" s="13" t="inlineStr">
        <is>
          <t>The Night at Rinx</t>
        </is>
      </c>
      <c r="B81" s="14" t="inlineStr">
        <is>
          <t>--</t>
        </is>
      </c>
      <c r="C81" s="14" t="n">
        <v>710</v>
      </c>
      <c r="D81" s="14" t="inlineStr">
        <is>
          <t>--</t>
        </is>
      </c>
      <c r="E81" s="14" t="n">
        <v>650</v>
      </c>
      <c r="F81" s="14" t="inlineStr">
        <is>
          <t>--</t>
        </is>
      </c>
      <c r="G81" s="14" t="inlineStr">
        <is>
          <t>--</t>
        </is>
      </c>
      <c r="H81" s="14" t="inlineStr">
        <is>
          <t>--</t>
        </is>
      </c>
      <c r="I81" s="14" t="n">
        <v>-710</v>
      </c>
    </row>
    <row r="82" ht="15" customHeight="1">
      <c r="A82" s="10" t="inlineStr">
        <is>
          <t>Family Contributions</t>
        </is>
      </c>
      <c r="B82" s="11" t="n">
        <v>6480</v>
      </c>
      <c r="C82" s="11" t="inlineStr">
        <is>
          <t>--</t>
        </is>
      </c>
      <c r="D82" s="11" t="n">
        <v>3900</v>
      </c>
      <c r="E82" s="11" t="inlineStr">
        <is>
          <t>--</t>
        </is>
      </c>
      <c r="F82" s="11" t="inlineStr">
        <is>
          <t>--</t>
        </is>
      </c>
      <c r="G82" s="11" t="inlineStr">
        <is>
          <t>--</t>
        </is>
      </c>
      <c r="H82" s="11" t="inlineStr">
        <is>
          <t>--</t>
        </is>
      </c>
      <c r="I82" s="11" t="n">
        <v>6480</v>
      </c>
    </row>
    <row r="83" ht="15" customHeight="1">
      <c r="A83" s="13" t="inlineStr">
        <is>
          <t>Lawn Signs</t>
        </is>
      </c>
      <c r="B83" s="14" t="n">
        <v>2560</v>
      </c>
      <c r="C83" s="14" t="inlineStr">
        <is>
          <t>--</t>
        </is>
      </c>
      <c r="D83" s="14" t="n">
        <v>750</v>
      </c>
      <c r="E83" s="14" t="inlineStr">
        <is>
          <t>--</t>
        </is>
      </c>
      <c r="F83" s="14" t="inlineStr">
        <is>
          <t>--</t>
        </is>
      </c>
      <c r="G83" s="14" t="inlineStr">
        <is>
          <t>--</t>
        </is>
      </c>
      <c r="H83" s="14" t="inlineStr">
        <is>
          <t>--</t>
        </is>
      </c>
      <c r="I83" s="14" t="n">
        <v>2560</v>
      </c>
    </row>
    <row r="84" ht="15" customHeight="1">
      <c r="A84" s="10" t="inlineStr">
        <is>
          <t>Treat or Trunk</t>
        </is>
      </c>
      <c r="B84" s="11" t="n">
        <v>1250</v>
      </c>
      <c r="C84" s="11" t="inlineStr">
        <is>
          <t>--</t>
        </is>
      </c>
      <c r="D84" s="11" t="n">
        <v>975</v>
      </c>
      <c r="E84" s="11" t="inlineStr">
        <is>
          <t>--</t>
        </is>
      </c>
      <c r="F84" s="11" t="inlineStr">
        <is>
          <t>--</t>
        </is>
      </c>
      <c r="G84" s="11" t="inlineStr">
        <is>
          <t>--</t>
        </is>
      </c>
      <c r="H84" s="11" t="inlineStr">
        <is>
          <t>--</t>
        </is>
      </c>
      <c r="I84" s="11" t="n">
        <v>1250</v>
      </c>
    </row>
    <row r="85" ht="18" customHeight="1">
      <c r="A85" s="7" t="inlineStr">
        <is>
          <t>TOTAL:</t>
        </is>
      </c>
      <c r="B85" s="8" t="n">
        <v>10290</v>
      </c>
      <c r="C85" s="8" t="n">
        <v>9469.49</v>
      </c>
      <c r="D85" s="8" t="n">
        <v>5625</v>
      </c>
      <c r="E85" s="8" t="n">
        <v>8600</v>
      </c>
      <c r="F85" s="8" t="inlineStr">
        <is>
          <t>--</t>
        </is>
      </c>
      <c r="G85" s="8" t="n">
        <v>181.58</v>
      </c>
      <c r="H85" s="8" t="n">
        <v>-181.58</v>
      </c>
      <c r="I85" s="8" t="n">
        <v>820.5100000000002</v>
      </c>
    </row>
  </sheetData>
  <mergeCells count="7">
    <mergeCell ref="A1:I1"/>
    <mergeCell ref="A2:I2"/>
    <mergeCell ref="A7:I7"/>
    <mergeCell ref="A19:I19"/>
    <mergeCell ref="A31:I31"/>
    <mergeCell ref="A53:I53"/>
    <mergeCell ref="A69:I6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2026-07-22T09:53:37Z</dcterms:created>
  <dcterms:modified xmlns:dcterms="http://purl.org/dc/terms/" xmlns:xsi="http://www.w3.org/2001/XMLSchema-instance" xsi:type="dcterms:W3CDTF">2026-07-22T09:53:37Z</dcterms:modified>
</cp:coreProperties>
</file>